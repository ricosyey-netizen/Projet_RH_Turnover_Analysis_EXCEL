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90FFB341-C7AB-4771-8036-A7C1959EB9E5}" xr6:coauthVersionLast="47" xr6:coauthVersionMax="47" xr10:uidLastSave="{00000000-0000-0000-0000-000000000000}"/>
  <bookViews>
    <workbookView xWindow="-110" yWindow="-110" windowWidth="19420" windowHeight="10420" activeTab="7" xr2:uid="{D5A61677-8BE6-47E1-A0F9-3D3D17E4C691}"/>
  </bookViews>
  <sheets>
    <sheet name="Analyse_RH_Projet.xlsx" sheetId="1" r:id="rId1"/>
    <sheet name="Feuil3" sheetId="4" r:id="rId2"/>
    <sheet name="Feuil4" sheetId="5" r:id="rId3"/>
    <sheet name="Feuil5" sheetId="6" r:id="rId4"/>
    <sheet name="Feuil6" sheetId="7" r:id="rId5"/>
    <sheet name="Feuil9" sheetId="12" r:id="rId6"/>
    <sheet name="Feuil1" sheetId="2" r:id="rId7"/>
    <sheet name="DASHBOARD" sheetId="11" r:id="rId8"/>
  </sheets>
  <definedNames>
    <definedName name="DonnéesExternes_1" localSheetId="6" hidden="1">Feuil1!$A$1:$AJ$312</definedName>
  </definedNames>
  <calcPr calcId="0"/>
  <pivotCaches>
    <pivotCache cacheId="11" r:id="rId9"/>
  </pivotCaches>
</workbook>
</file>

<file path=xl/calcChain.xml><?xml version="1.0" encoding="utf-8"?>
<calcChain xmlns="http://schemas.openxmlformats.org/spreadsheetml/2006/main">
  <c r="B6" i="11" l="1"/>
  <c r="B5" i="11"/>
  <c r="B4" i="11"/>
  <c r="S7" i="11"/>
  <c r="S8" i="11"/>
  <c r="S5" i="11"/>
  <c r="AP2" i="2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P131" i="2"/>
  <c r="AP132" i="2"/>
  <c r="AP13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6" i="2"/>
  <c r="AP147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AP164" i="2"/>
  <c r="AP165" i="2"/>
  <c r="AP166" i="2"/>
  <c r="AP167" i="2"/>
  <c r="AP168" i="2"/>
  <c r="AP169" i="2"/>
  <c r="AP170" i="2"/>
  <c r="AP171" i="2"/>
  <c r="AP172" i="2"/>
  <c r="AP173" i="2"/>
  <c r="AP174" i="2"/>
  <c r="AP175" i="2"/>
  <c r="AP176" i="2"/>
  <c r="AP177" i="2"/>
  <c r="AP178" i="2"/>
  <c r="AP179" i="2"/>
  <c r="AP180" i="2"/>
  <c r="AP181" i="2"/>
  <c r="AP182" i="2"/>
  <c r="AP183" i="2"/>
  <c r="AP184" i="2"/>
  <c r="AP185" i="2"/>
  <c r="AP186" i="2"/>
  <c r="AP187" i="2"/>
  <c r="AP188" i="2"/>
  <c r="AP189" i="2"/>
  <c r="AP190" i="2"/>
  <c r="AP191" i="2"/>
  <c r="AP192" i="2"/>
  <c r="AP193" i="2"/>
  <c r="AP194" i="2"/>
  <c r="AP195" i="2"/>
  <c r="AP196" i="2"/>
  <c r="AP197" i="2"/>
  <c r="AP198" i="2"/>
  <c r="AP199" i="2"/>
  <c r="AP200" i="2"/>
  <c r="AP201" i="2"/>
  <c r="AP202" i="2"/>
  <c r="AP203" i="2"/>
  <c r="AP204" i="2"/>
  <c r="AP205" i="2"/>
  <c r="AP206" i="2"/>
  <c r="AP207" i="2"/>
  <c r="AP208" i="2"/>
  <c r="AP209" i="2"/>
  <c r="AP210" i="2"/>
  <c r="AP211" i="2"/>
  <c r="AP212" i="2"/>
  <c r="AP213" i="2"/>
  <c r="AP214" i="2"/>
  <c r="AP215" i="2"/>
  <c r="AP216" i="2"/>
  <c r="AP217" i="2"/>
  <c r="AP218" i="2"/>
  <c r="AP219" i="2"/>
  <c r="AP220" i="2"/>
  <c r="AP221" i="2"/>
  <c r="AP222" i="2"/>
  <c r="AP223" i="2"/>
  <c r="AP224" i="2"/>
  <c r="AP225" i="2"/>
  <c r="AP226" i="2"/>
  <c r="AP227" i="2"/>
  <c r="AP228" i="2"/>
  <c r="AP229" i="2"/>
  <c r="AP230" i="2"/>
  <c r="AP231" i="2"/>
  <c r="AP232" i="2"/>
  <c r="AP233" i="2"/>
  <c r="AP234" i="2"/>
  <c r="AP235" i="2"/>
  <c r="AP236" i="2"/>
  <c r="AP237" i="2"/>
  <c r="AP238" i="2"/>
  <c r="AP239" i="2"/>
  <c r="AP240" i="2"/>
  <c r="AP241" i="2"/>
  <c r="AP242" i="2"/>
  <c r="AP243" i="2"/>
  <c r="AP244" i="2"/>
  <c r="AP245" i="2"/>
  <c r="AP246" i="2"/>
  <c r="AP247" i="2"/>
  <c r="AP248" i="2"/>
  <c r="AP249" i="2"/>
  <c r="AP250" i="2"/>
  <c r="AP251" i="2"/>
  <c r="AP252" i="2"/>
  <c r="AP253" i="2"/>
  <c r="AP254" i="2"/>
  <c r="AP255" i="2"/>
  <c r="AP256" i="2"/>
  <c r="AP257" i="2"/>
  <c r="AP258" i="2"/>
  <c r="AP259" i="2"/>
  <c r="AP260" i="2"/>
  <c r="AP261" i="2"/>
  <c r="AP262" i="2"/>
  <c r="AP263" i="2"/>
  <c r="AP264" i="2"/>
  <c r="AP265" i="2"/>
  <c r="AP266" i="2"/>
  <c r="AP267" i="2"/>
  <c r="AP268" i="2"/>
  <c r="AP269" i="2"/>
  <c r="AP270" i="2"/>
  <c r="AP271" i="2"/>
  <c r="AP272" i="2"/>
  <c r="AP273" i="2"/>
  <c r="AP274" i="2"/>
  <c r="AP275" i="2"/>
  <c r="AP276" i="2"/>
  <c r="AP277" i="2"/>
  <c r="AP278" i="2"/>
  <c r="AP279" i="2"/>
  <c r="AP280" i="2"/>
  <c r="AP281" i="2"/>
  <c r="AP282" i="2"/>
  <c r="AP283" i="2"/>
  <c r="AP284" i="2"/>
  <c r="AP285" i="2"/>
  <c r="AP286" i="2"/>
  <c r="AP287" i="2"/>
  <c r="AP288" i="2"/>
  <c r="AP289" i="2"/>
  <c r="AP290" i="2"/>
  <c r="AP291" i="2"/>
  <c r="AP292" i="2"/>
  <c r="AP293" i="2"/>
  <c r="AP294" i="2"/>
  <c r="AP295" i="2"/>
  <c r="AP296" i="2"/>
  <c r="AP297" i="2"/>
  <c r="AP298" i="2"/>
  <c r="AP299" i="2"/>
  <c r="AP300" i="2"/>
  <c r="AP301" i="2"/>
  <c r="AP302" i="2"/>
  <c r="AP303" i="2"/>
  <c r="AP304" i="2"/>
  <c r="AP305" i="2"/>
  <c r="AP306" i="2"/>
  <c r="AP307" i="2"/>
  <c r="AP308" i="2"/>
  <c r="AP309" i="2"/>
  <c r="AP310" i="2"/>
  <c r="AP311" i="2"/>
  <c r="AP312" i="2"/>
  <c r="AO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K2" i="2"/>
  <c r="AN2" i="2" s="1"/>
  <c r="AK3" i="2"/>
  <c r="AN3" i="2" s="1"/>
  <c r="AK4" i="2"/>
  <c r="AN4" i="2" s="1"/>
  <c r="AK5" i="2"/>
  <c r="AN5" i="2" s="1"/>
  <c r="AK6" i="2"/>
  <c r="AN6" i="2" s="1"/>
  <c r="AK7" i="2"/>
  <c r="AN7" i="2" s="1"/>
  <c r="AK8" i="2"/>
  <c r="AN8" i="2" s="1"/>
  <c r="AK9" i="2"/>
  <c r="AN9" i="2" s="1"/>
  <c r="AK10" i="2"/>
  <c r="AN10" i="2" s="1"/>
  <c r="AK11" i="2"/>
  <c r="AN11" i="2" s="1"/>
  <c r="AK12" i="2"/>
  <c r="AN12" i="2" s="1"/>
  <c r="AK13" i="2"/>
  <c r="AN13" i="2" s="1"/>
  <c r="AK14" i="2"/>
  <c r="AN14" i="2" s="1"/>
  <c r="AK15" i="2"/>
  <c r="AN15" i="2" s="1"/>
  <c r="AK16" i="2"/>
  <c r="AN16" i="2" s="1"/>
  <c r="AK17" i="2"/>
  <c r="AN17" i="2" s="1"/>
  <c r="AK18" i="2"/>
  <c r="AN18" i="2" s="1"/>
  <c r="AK19" i="2"/>
  <c r="AN19" i="2" s="1"/>
  <c r="AK20" i="2"/>
  <c r="AN20" i="2" s="1"/>
  <c r="AK21" i="2"/>
  <c r="AN21" i="2" s="1"/>
  <c r="AK22" i="2"/>
  <c r="AN22" i="2" s="1"/>
  <c r="AK23" i="2"/>
  <c r="AN23" i="2" s="1"/>
  <c r="AK24" i="2"/>
  <c r="AN24" i="2" s="1"/>
  <c r="AK25" i="2"/>
  <c r="AN25" i="2" s="1"/>
  <c r="AK26" i="2"/>
  <c r="AN26" i="2" s="1"/>
  <c r="AK27" i="2"/>
  <c r="AN27" i="2" s="1"/>
  <c r="AK28" i="2"/>
  <c r="AN28" i="2" s="1"/>
  <c r="AK29" i="2"/>
  <c r="AN29" i="2" s="1"/>
  <c r="AK30" i="2"/>
  <c r="AN30" i="2" s="1"/>
  <c r="AK31" i="2"/>
  <c r="AN31" i="2" s="1"/>
  <c r="AK32" i="2"/>
  <c r="AN32" i="2" s="1"/>
  <c r="AK33" i="2"/>
  <c r="AN33" i="2" s="1"/>
  <c r="AK34" i="2"/>
  <c r="AN34" i="2" s="1"/>
  <c r="AK35" i="2"/>
  <c r="AN35" i="2" s="1"/>
  <c r="AK36" i="2"/>
  <c r="AN36" i="2" s="1"/>
  <c r="AK37" i="2"/>
  <c r="AN37" i="2" s="1"/>
  <c r="AK38" i="2"/>
  <c r="AN38" i="2" s="1"/>
  <c r="AK39" i="2"/>
  <c r="AN39" i="2" s="1"/>
  <c r="AK40" i="2"/>
  <c r="AN40" i="2" s="1"/>
  <c r="AK41" i="2"/>
  <c r="AN41" i="2" s="1"/>
  <c r="AK42" i="2"/>
  <c r="AN42" i="2" s="1"/>
  <c r="AK43" i="2"/>
  <c r="AN43" i="2" s="1"/>
  <c r="AK44" i="2"/>
  <c r="AN44" i="2" s="1"/>
  <c r="AK45" i="2"/>
  <c r="AN45" i="2" s="1"/>
  <c r="AK46" i="2"/>
  <c r="AN46" i="2" s="1"/>
  <c r="AK47" i="2"/>
  <c r="AN47" i="2" s="1"/>
  <c r="AK48" i="2"/>
  <c r="AN48" i="2" s="1"/>
  <c r="AK49" i="2"/>
  <c r="AN49" i="2" s="1"/>
  <c r="AK50" i="2"/>
  <c r="AN50" i="2" s="1"/>
  <c r="AK51" i="2"/>
  <c r="AN51" i="2" s="1"/>
  <c r="AK52" i="2"/>
  <c r="AN52" i="2" s="1"/>
  <c r="AK53" i="2"/>
  <c r="AN53" i="2" s="1"/>
  <c r="AK54" i="2"/>
  <c r="AN54" i="2" s="1"/>
  <c r="AK55" i="2"/>
  <c r="AN55" i="2" s="1"/>
  <c r="AK56" i="2"/>
  <c r="AN56" i="2" s="1"/>
  <c r="AK57" i="2"/>
  <c r="AN57" i="2" s="1"/>
  <c r="AK58" i="2"/>
  <c r="AN58" i="2" s="1"/>
  <c r="AK59" i="2"/>
  <c r="AN59" i="2" s="1"/>
  <c r="AK60" i="2"/>
  <c r="AN60" i="2" s="1"/>
  <c r="AK61" i="2"/>
  <c r="AN61" i="2" s="1"/>
  <c r="AK62" i="2"/>
  <c r="AN62" i="2" s="1"/>
  <c r="AK63" i="2"/>
  <c r="AN63" i="2" s="1"/>
  <c r="AK64" i="2"/>
  <c r="AN64" i="2" s="1"/>
  <c r="AK65" i="2"/>
  <c r="AN65" i="2" s="1"/>
  <c r="AK66" i="2"/>
  <c r="AN66" i="2" s="1"/>
  <c r="AK67" i="2"/>
  <c r="AN67" i="2" s="1"/>
  <c r="AK68" i="2"/>
  <c r="AN68" i="2" s="1"/>
  <c r="AK69" i="2"/>
  <c r="AN69" i="2" s="1"/>
  <c r="AK70" i="2"/>
  <c r="AN70" i="2" s="1"/>
  <c r="AK71" i="2"/>
  <c r="AN71" i="2" s="1"/>
  <c r="AK72" i="2"/>
  <c r="AN72" i="2" s="1"/>
  <c r="AK73" i="2"/>
  <c r="AN73" i="2" s="1"/>
  <c r="AK74" i="2"/>
  <c r="AN74" i="2" s="1"/>
  <c r="AK75" i="2"/>
  <c r="AN75" i="2" s="1"/>
  <c r="AK76" i="2"/>
  <c r="AN76" i="2" s="1"/>
  <c r="AK77" i="2"/>
  <c r="AN77" i="2" s="1"/>
  <c r="AK78" i="2"/>
  <c r="AN78" i="2" s="1"/>
  <c r="AK79" i="2"/>
  <c r="AN79" i="2" s="1"/>
  <c r="AK80" i="2"/>
  <c r="AN80" i="2" s="1"/>
  <c r="AK81" i="2"/>
  <c r="AN81" i="2" s="1"/>
  <c r="AK82" i="2"/>
  <c r="AN82" i="2" s="1"/>
  <c r="AK83" i="2"/>
  <c r="AN83" i="2" s="1"/>
  <c r="AK84" i="2"/>
  <c r="AN84" i="2" s="1"/>
  <c r="AK85" i="2"/>
  <c r="AN85" i="2" s="1"/>
  <c r="AK86" i="2"/>
  <c r="AN86" i="2" s="1"/>
  <c r="AK87" i="2"/>
  <c r="AN87" i="2" s="1"/>
  <c r="AK88" i="2"/>
  <c r="AN88" i="2" s="1"/>
  <c r="AK89" i="2"/>
  <c r="AN89" i="2" s="1"/>
  <c r="AK90" i="2"/>
  <c r="AN90" i="2" s="1"/>
  <c r="AK91" i="2"/>
  <c r="AN91" i="2" s="1"/>
  <c r="AK92" i="2"/>
  <c r="AN92" i="2" s="1"/>
  <c r="AK93" i="2"/>
  <c r="AN93" i="2" s="1"/>
  <c r="AK94" i="2"/>
  <c r="AN94" i="2" s="1"/>
  <c r="AK95" i="2"/>
  <c r="AN95" i="2" s="1"/>
  <c r="AK96" i="2"/>
  <c r="AN96" i="2" s="1"/>
  <c r="AK97" i="2"/>
  <c r="AN97" i="2" s="1"/>
  <c r="AK98" i="2"/>
  <c r="AN98" i="2" s="1"/>
  <c r="AK99" i="2"/>
  <c r="AN99" i="2" s="1"/>
  <c r="AK100" i="2"/>
  <c r="AN100" i="2" s="1"/>
  <c r="AK101" i="2"/>
  <c r="AN101" i="2" s="1"/>
  <c r="AK102" i="2"/>
  <c r="AN102" i="2" s="1"/>
  <c r="AK103" i="2"/>
  <c r="AN103" i="2" s="1"/>
  <c r="AK104" i="2"/>
  <c r="AN104" i="2" s="1"/>
  <c r="AK105" i="2"/>
  <c r="AN105" i="2" s="1"/>
  <c r="AK106" i="2"/>
  <c r="AN106" i="2" s="1"/>
  <c r="AK107" i="2"/>
  <c r="AN107" i="2" s="1"/>
  <c r="AK108" i="2"/>
  <c r="AN108" i="2" s="1"/>
  <c r="AK109" i="2"/>
  <c r="AN109" i="2" s="1"/>
  <c r="AK110" i="2"/>
  <c r="AN110" i="2" s="1"/>
  <c r="AK111" i="2"/>
  <c r="AN111" i="2" s="1"/>
  <c r="AK112" i="2"/>
  <c r="AN112" i="2" s="1"/>
  <c r="AK113" i="2"/>
  <c r="AN113" i="2" s="1"/>
  <c r="AK114" i="2"/>
  <c r="AN114" i="2" s="1"/>
  <c r="AK115" i="2"/>
  <c r="AN115" i="2" s="1"/>
  <c r="AK116" i="2"/>
  <c r="AN116" i="2" s="1"/>
  <c r="AK117" i="2"/>
  <c r="AN117" i="2" s="1"/>
  <c r="AK118" i="2"/>
  <c r="AN118" i="2" s="1"/>
  <c r="AK119" i="2"/>
  <c r="AN119" i="2" s="1"/>
  <c r="AK120" i="2"/>
  <c r="AN120" i="2" s="1"/>
  <c r="AK121" i="2"/>
  <c r="AN121" i="2" s="1"/>
  <c r="AK122" i="2"/>
  <c r="AN122" i="2" s="1"/>
  <c r="AK123" i="2"/>
  <c r="AN123" i="2" s="1"/>
  <c r="AK124" i="2"/>
  <c r="AN124" i="2" s="1"/>
  <c r="AK125" i="2"/>
  <c r="AN125" i="2" s="1"/>
  <c r="AK126" i="2"/>
  <c r="AN126" i="2" s="1"/>
  <c r="AK127" i="2"/>
  <c r="AN127" i="2" s="1"/>
  <c r="AK128" i="2"/>
  <c r="AN128" i="2" s="1"/>
  <c r="AK129" i="2"/>
  <c r="AN129" i="2" s="1"/>
  <c r="AK130" i="2"/>
  <c r="AN130" i="2" s="1"/>
  <c r="AK131" i="2"/>
  <c r="AN131" i="2" s="1"/>
  <c r="AK132" i="2"/>
  <c r="AN132" i="2" s="1"/>
  <c r="AK133" i="2"/>
  <c r="AN133" i="2" s="1"/>
  <c r="AK134" i="2"/>
  <c r="AN134" i="2" s="1"/>
  <c r="AK135" i="2"/>
  <c r="AN135" i="2" s="1"/>
  <c r="AK136" i="2"/>
  <c r="AN136" i="2" s="1"/>
  <c r="AK137" i="2"/>
  <c r="AN137" i="2" s="1"/>
  <c r="AK138" i="2"/>
  <c r="AN138" i="2" s="1"/>
  <c r="AK139" i="2"/>
  <c r="AN139" i="2" s="1"/>
  <c r="AK140" i="2"/>
  <c r="AN140" i="2" s="1"/>
  <c r="AK141" i="2"/>
  <c r="AN141" i="2" s="1"/>
  <c r="AK142" i="2"/>
  <c r="AN142" i="2" s="1"/>
  <c r="AK143" i="2"/>
  <c r="AN143" i="2" s="1"/>
  <c r="AK144" i="2"/>
  <c r="AN144" i="2" s="1"/>
  <c r="AK145" i="2"/>
  <c r="AN145" i="2" s="1"/>
  <c r="AK146" i="2"/>
  <c r="AN146" i="2" s="1"/>
  <c r="AK147" i="2"/>
  <c r="AN147" i="2" s="1"/>
  <c r="AK148" i="2"/>
  <c r="AN148" i="2" s="1"/>
  <c r="AK149" i="2"/>
  <c r="AN149" i="2" s="1"/>
  <c r="AK150" i="2"/>
  <c r="AN150" i="2" s="1"/>
  <c r="AK151" i="2"/>
  <c r="AN151" i="2" s="1"/>
  <c r="AK152" i="2"/>
  <c r="AN152" i="2" s="1"/>
  <c r="AK153" i="2"/>
  <c r="AN153" i="2" s="1"/>
  <c r="AK154" i="2"/>
  <c r="AN154" i="2" s="1"/>
  <c r="AK155" i="2"/>
  <c r="AN155" i="2" s="1"/>
  <c r="AK156" i="2"/>
  <c r="AN156" i="2" s="1"/>
  <c r="AK157" i="2"/>
  <c r="AN157" i="2" s="1"/>
  <c r="AK158" i="2"/>
  <c r="AN158" i="2" s="1"/>
  <c r="AK159" i="2"/>
  <c r="AN159" i="2" s="1"/>
  <c r="AK160" i="2"/>
  <c r="AN160" i="2" s="1"/>
  <c r="AK161" i="2"/>
  <c r="AN161" i="2" s="1"/>
  <c r="AK162" i="2"/>
  <c r="AN162" i="2" s="1"/>
  <c r="AK163" i="2"/>
  <c r="AN163" i="2" s="1"/>
  <c r="AK164" i="2"/>
  <c r="AN164" i="2" s="1"/>
  <c r="AK165" i="2"/>
  <c r="AN165" i="2" s="1"/>
  <c r="AK166" i="2"/>
  <c r="AN166" i="2" s="1"/>
  <c r="AK167" i="2"/>
  <c r="AN167" i="2" s="1"/>
  <c r="AK168" i="2"/>
  <c r="AN168" i="2" s="1"/>
  <c r="AK169" i="2"/>
  <c r="AN169" i="2" s="1"/>
  <c r="AK170" i="2"/>
  <c r="AN170" i="2" s="1"/>
  <c r="AK171" i="2"/>
  <c r="AN171" i="2" s="1"/>
  <c r="AK172" i="2"/>
  <c r="AN172" i="2" s="1"/>
  <c r="AK173" i="2"/>
  <c r="AN173" i="2" s="1"/>
  <c r="AK174" i="2"/>
  <c r="AN174" i="2" s="1"/>
  <c r="AK175" i="2"/>
  <c r="AN175" i="2" s="1"/>
  <c r="AK176" i="2"/>
  <c r="AN176" i="2" s="1"/>
  <c r="AK177" i="2"/>
  <c r="AN177" i="2" s="1"/>
  <c r="AK178" i="2"/>
  <c r="AN178" i="2" s="1"/>
  <c r="AK179" i="2"/>
  <c r="AN179" i="2" s="1"/>
  <c r="AK180" i="2"/>
  <c r="AN180" i="2" s="1"/>
  <c r="AK181" i="2"/>
  <c r="AN181" i="2" s="1"/>
  <c r="AK182" i="2"/>
  <c r="AN182" i="2" s="1"/>
  <c r="AK183" i="2"/>
  <c r="AN183" i="2" s="1"/>
  <c r="AK184" i="2"/>
  <c r="AN184" i="2" s="1"/>
  <c r="AK185" i="2"/>
  <c r="AN185" i="2" s="1"/>
  <c r="AK186" i="2"/>
  <c r="AN186" i="2" s="1"/>
  <c r="AK187" i="2"/>
  <c r="AN187" i="2" s="1"/>
  <c r="AK188" i="2"/>
  <c r="AN188" i="2" s="1"/>
  <c r="AK189" i="2"/>
  <c r="AN189" i="2" s="1"/>
  <c r="AK190" i="2"/>
  <c r="AN190" i="2" s="1"/>
  <c r="AK191" i="2"/>
  <c r="AN191" i="2" s="1"/>
  <c r="AK192" i="2"/>
  <c r="AN192" i="2" s="1"/>
  <c r="AK193" i="2"/>
  <c r="AN193" i="2" s="1"/>
  <c r="AK194" i="2"/>
  <c r="AN194" i="2" s="1"/>
  <c r="AK195" i="2"/>
  <c r="AN195" i="2" s="1"/>
  <c r="AK196" i="2"/>
  <c r="AN196" i="2" s="1"/>
  <c r="AK197" i="2"/>
  <c r="AN197" i="2" s="1"/>
  <c r="AK198" i="2"/>
  <c r="AN198" i="2" s="1"/>
  <c r="AK199" i="2"/>
  <c r="AN199" i="2" s="1"/>
  <c r="AK200" i="2"/>
  <c r="AN200" i="2" s="1"/>
  <c r="AK201" i="2"/>
  <c r="AN201" i="2" s="1"/>
  <c r="AK202" i="2"/>
  <c r="AN202" i="2" s="1"/>
  <c r="AK203" i="2"/>
  <c r="AN203" i="2" s="1"/>
  <c r="AK204" i="2"/>
  <c r="AN204" i="2" s="1"/>
  <c r="AK205" i="2"/>
  <c r="AN205" i="2" s="1"/>
  <c r="AK206" i="2"/>
  <c r="AN206" i="2" s="1"/>
  <c r="AK207" i="2"/>
  <c r="AN207" i="2" s="1"/>
  <c r="AK208" i="2"/>
  <c r="AN208" i="2" s="1"/>
  <c r="AK209" i="2"/>
  <c r="AN209" i="2" s="1"/>
  <c r="AK210" i="2"/>
  <c r="AN210" i="2" s="1"/>
  <c r="AK211" i="2"/>
  <c r="AN211" i="2" s="1"/>
  <c r="AK212" i="2"/>
  <c r="AN212" i="2" s="1"/>
  <c r="AK213" i="2"/>
  <c r="AN213" i="2" s="1"/>
  <c r="AK214" i="2"/>
  <c r="AN214" i="2" s="1"/>
  <c r="AK215" i="2"/>
  <c r="AN215" i="2" s="1"/>
  <c r="AK216" i="2"/>
  <c r="AN216" i="2" s="1"/>
  <c r="AK217" i="2"/>
  <c r="AN217" i="2" s="1"/>
  <c r="AK218" i="2"/>
  <c r="AN218" i="2" s="1"/>
  <c r="AK219" i="2"/>
  <c r="AN219" i="2" s="1"/>
  <c r="AK220" i="2"/>
  <c r="AN220" i="2" s="1"/>
  <c r="AK221" i="2"/>
  <c r="AN221" i="2" s="1"/>
  <c r="AK222" i="2"/>
  <c r="AN222" i="2" s="1"/>
  <c r="AK223" i="2"/>
  <c r="AN223" i="2" s="1"/>
  <c r="AK224" i="2"/>
  <c r="AN224" i="2" s="1"/>
  <c r="AK225" i="2"/>
  <c r="AN225" i="2" s="1"/>
  <c r="AK226" i="2"/>
  <c r="AN226" i="2" s="1"/>
  <c r="AK227" i="2"/>
  <c r="AN227" i="2" s="1"/>
  <c r="AK228" i="2"/>
  <c r="AN228" i="2" s="1"/>
  <c r="AK229" i="2"/>
  <c r="AN229" i="2" s="1"/>
  <c r="AK230" i="2"/>
  <c r="AN230" i="2" s="1"/>
  <c r="AK231" i="2"/>
  <c r="AN231" i="2" s="1"/>
  <c r="AK232" i="2"/>
  <c r="AN232" i="2" s="1"/>
  <c r="AK233" i="2"/>
  <c r="AN233" i="2" s="1"/>
  <c r="AK234" i="2"/>
  <c r="AN234" i="2" s="1"/>
  <c r="AK235" i="2"/>
  <c r="AN235" i="2" s="1"/>
  <c r="AK236" i="2"/>
  <c r="AN236" i="2" s="1"/>
  <c r="AK237" i="2"/>
  <c r="AN237" i="2" s="1"/>
  <c r="AK238" i="2"/>
  <c r="AN238" i="2" s="1"/>
  <c r="AK239" i="2"/>
  <c r="AN239" i="2" s="1"/>
  <c r="AK240" i="2"/>
  <c r="AN240" i="2" s="1"/>
  <c r="AK241" i="2"/>
  <c r="AN241" i="2" s="1"/>
  <c r="AK242" i="2"/>
  <c r="AN242" i="2" s="1"/>
  <c r="AK243" i="2"/>
  <c r="AN243" i="2" s="1"/>
  <c r="AK244" i="2"/>
  <c r="AN244" i="2" s="1"/>
  <c r="AK245" i="2"/>
  <c r="AN245" i="2" s="1"/>
  <c r="AK246" i="2"/>
  <c r="AN246" i="2" s="1"/>
  <c r="AK247" i="2"/>
  <c r="AN247" i="2" s="1"/>
  <c r="AK248" i="2"/>
  <c r="AN248" i="2" s="1"/>
  <c r="AK249" i="2"/>
  <c r="AN249" i="2" s="1"/>
  <c r="AK250" i="2"/>
  <c r="AN250" i="2" s="1"/>
  <c r="AK251" i="2"/>
  <c r="AN251" i="2" s="1"/>
  <c r="AK252" i="2"/>
  <c r="AN252" i="2" s="1"/>
  <c r="AK253" i="2"/>
  <c r="AN253" i="2" s="1"/>
  <c r="AK254" i="2"/>
  <c r="AN254" i="2" s="1"/>
  <c r="AK255" i="2"/>
  <c r="AN255" i="2" s="1"/>
  <c r="AK256" i="2"/>
  <c r="AN256" i="2" s="1"/>
  <c r="AK257" i="2"/>
  <c r="AN257" i="2" s="1"/>
  <c r="AK258" i="2"/>
  <c r="AN258" i="2" s="1"/>
  <c r="AK259" i="2"/>
  <c r="AN259" i="2" s="1"/>
  <c r="AK260" i="2"/>
  <c r="AN260" i="2" s="1"/>
  <c r="AK261" i="2"/>
  <c r="AN261" i="2" s="1"/>
  <c r="AK262" i="2"/>
  <c r="AN262" i="2" s="1"/>
  <c r="AK263" i="2"/>
  <c r="AN263" i="2" s="1"/>
  <c r="AK264" i="2"/>
  <c r="AN264" i="2" s="1"/>
  <c r="AK265" i="2"/>
  <c r="AN265" i="2" s="1"/>
  <c r="AK266" i="2"/>
  <c r="AN266" i="2" s="1"/>
  <c r="AK267" i="2"/>
  <c r="AN267" i="2" s="1"/>
  <c r="AK268" i="2"/>
  <c r="AN268" i="2" s="1"/>
  <c r="AK269" i="2"/>
  <c r="AN269" i="2" s="1"/>
  <c r="AK270" i="2"/>
  <c r="AN270" i="2" s="1"/>
  <c r="AK271" i="2"/>
  <c r="AN271" i="2" s="1"/>
  <c r="AK272" i="2"/>
  <c r="AN272" i="2" s="1"/>
  <c r="AK273" i="2"/>
  <c r="AN273" i="2" s="1"/>
  <c r="AK274" i="2"/>
  <c r="AN274" i="2" s="1"/>
  <c r="AK275" i="2"/>
  <c r="AN275" i="2" s="1"/>
  <c r="AK276" i="2"/>
  <c r="AN276" i="2" s="1"/>
  <c r="AK277" i="2"/>
  <c r="AN277" i="2" s="1"/>
  <c r="AK278" i="2"/>
  <c r="AN278" i="2" s="1"/>
  <c r="AK279" i="2"/>
  <c r="AN279" i="2" s="1"/>
  <c r="AK280" i="2"/>
  <c r="AN280" i="2" s="1"/>
  <c r="AK281" i="2"/>
  <c r="AN281" i="2" s="1"/>
  <c r="AK282" i="2"/>
  <c r="AN282" i="2" s="1"/>
  <c r="AK283" i="2"/>
  <c r="AN283" i="2" s="1"/>
  <c r="AK284" i="2"/>
  <c r="AN284" i="2" s="1"/>
  <c r="AK285" i="2"/>
  <c r="AN285" i="2" s="1"/>
  <c r="AK286" i="2"/>
  <c r="AN286" i="2" s="1"/>
  <c r="AK287" i="2"/>
  <c r="AN287" i="2" s="1"/>
  <c r="AK288" i="2"/>
  <c r="AN288" i="2" s="1"/>
  <c r="AK289" i="2"/>
  <c r="AN289" i="2" s="1"/>
  <c r="AK290" i="2"/>
  <c r="AN290" i="2" s="1"/>
  <c r="AK291" i="2"/>
  <c r="AN291" i="2" s="1"/>
  <c r="AK292" i="2"/>
  <c r="AN292" i="2" s="1"/>
  <c r="AK293" i="2"/>
  <c r="AN293" i="2" s="1"/>
  <c r="AK294" i="2"/>
  <c r="AN294" i="2" s="1"/>
  <c r="AK295" i="2"/>
  <c r="AN295" i="2" s="1"/>
  <c r="AK296" i="2"/>
  <c r="AN296" i="2" s="1"/>
  <c r="AK297" i="2"/>
  <c r="AN297" i="2" s="1"/>
  <c r="AK298" i="2"/>
  <c r="AN298" i="2" s="1"/>
  <c r="AK299" i="2"/>
  <c r="AN299" i="2" s="1"/>
  <c r="AK300" i="2"/>
  <c r="AN300" i="2" s="1"/>
  <c r="AK301" i="2"/>
  <c r="AN301" i="2" s="1"/>
  <c r="AK302" i="2"/>
  <c r="AN302" i="2" s="1"/>
  <c r="AK303" i="2"/>
  <c r="AN303" i="2" s="1"/>
  <c r="AK304" i="2"/>
  <c r="AN304" i="2" s="1"/>
  <c r="AK305" i="2"/>
  <c r="AN305" i="2" s="1"/>
  <c r="AK306" i="2"/>
  <c r="AN306" i="2" s="1"/>
  <c r="AK307" i="2"/>
  <c r="AN307" i="2" s="1"/>
  <c r="AK308" i="2"/>
  <c r="AN308" i="2" s="1"/>
  <c r="AK309" i="2"/>
  <c r="AN309" i="2" s="1"/>
  <c r="AK310" i="2"/>
  <c r="AN310" i="2" s="1"/>
  <c r="AK311" i="2"/>
  <c r="AN311" i="2" s="1"/>
  <c r="AK312" i="2"/>
  <c r="AN312" i="2" s="1"/>
  <c r="S10" i="11" l="1"/>
  <c r="S9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26DADC-0793-41ED-B661-2923F14A63B2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<sst xmlns="http://schemas.openxmlformats.org/spreadsheetml/2006/main" count="10208" uniqueCount="949">
  <si>
    <t>Employee_Name</t>
  </si>
  <si>
    <t>EmpID</t>
  </si>
  <si>
    <t>MarriedID</t>
  </si>
  <si>
    <t>DeptID</t>
  </si>
  <si>
    <t>PerfScoreID</t>
  </si>
  <si>
    <t>Salary</t>
  </si>
  <si>
    <t>Termd</t>
  </si>
  <si>
    <t>PositionID</t>
  </si>
  <si>
    <t>State</t>
  </si>
  <si>
    <t>Zip</t>
  </si>
  <si>
    <t>DOB</t>
  </si>
  <si>
    <t>Sex</t>
  </si>
  <si>
    <t>Department</t>
  </si>
  <si>
    <t>ManagerID</t>
  </si>
  <si>
    <t>Absences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</si>
  <si>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</si>
  <si>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</si>
  <si>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</si>
  <si>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</si>
  <si>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</si>
  <si>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</si>
  <si>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</si>
  <si>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</si>
  <si>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</si>
  <si>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</si>
  <si>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</si>
  <si>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</si>
  <si>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</si>
  <si>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4.60</t>
  </si>
  <si>
    <t>1/17/2019</t>
  </si>
  <si>
    <t>Sr. DBA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</si>
  <si>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</si>
  <si>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</si>
  <si>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</si>
  <si>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</si>
  <si>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</si>
  <si>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</si>
  <si>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</si>
  <si>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</si>
  <si>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</si>
  <si>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4.96</t>
  </si>
  <si>
    <t>2/24/2016</t>
  </si>
  <si>
    <t>Production Technician II</t>
  </si>
  <si>
    <t>09/19/88</t>
  </si>
  <si>
    <t>F</t>
  </si>
  <si>
    <t>9/24/2012</t>
  </si>
  <si>
    <t>hours</t>
  </si>
  <si>
    <t>Kissy Sullivan</t>
  </si>
  <si>
    <t>3.02</t>
  </si>
  <si>
    <t>5/15/2012</t>
  </si>
  <si>
    <t>09/27/88</t>
  </si>
  <si>
    <t>Elijiah Gray</t>
  </si>
  <si>
    <t>4.84</t>
  </si>
  <si>
    <t>Divorced</t>
  </si>
  <si>
    <t>return to school</t>
  </si>
  <si>
    <t>Webster Butler</t>
  </si>
  <si>
    <t>Google Search</t>
  </si>
  <si>
    <t>5.00</t>
  </si>
  <si>
    <t>05/22/77</t>
  </si>
  <si>
    <t>Amy Dunn</t>
  </si>
  <si>
    <t>Software Engineer</t>
  </si>
  <si>
    <t>05/24/79</t>
  </si>
  <si>
    <t>Software Engineering</t>
  </si>
  <si>
    <t>Alex Sweetwater</t>
  </si>
  <si>
    <t>3.04</t>
  </si>
  <si>
    <t>02/18/83</t>
  </si>
  <si>
    <t>Widowed</t>
  </si>
  <si>
    <t>9/30/2013</t>
  </si>
  <si>
    <t>Ketsia Liebig</t>
  </si>
  <si>
    <t>Employee Referral</t>
  </si>
  <si>
    <t>2/25/2019</t>
  </si>
  <si>
    <t>Black or African American</t>
  </si>
  <si>
    <t>Brannon Miller</t>
  </si>
  <si>
    <t>Diversity Job Fair</t>
  </si>
  <si>
    <t>4.46</t>
  </si>
  <si>
    <t>1/25/2019</t>
  </si>
  <si>
    <t>IT Support</t>
  </si>
  <si>
    <t>Peter Monroe</t>
  </si>
  <si>
    <t>2/18/2019</t>
  </si>
  <si>
    <t>Yes</t>
  </si>
  <si>
    <t>Another position</t>
  </si>
  <si>
    <t>David Stanley</t>
  </si>
  <si>
    <t>4.20</t>
  </si>
  <si>
    <t>1/30/2016</t>
  </si>
  <si>
    <t>02/21/74</t>
  </si>
  <si>
    <t>9/19/2016</t>
  </si>
  <si>
    <t>unhappy</t>
  </si>
  <si>
    <t>Data Analyst</t>
  </si>
  <si>
    <t>TX</t>
  </si>
  <si>
    <t>4.28</t>
  </si>
  <si>
    <t>07/20/83</t>
  </si>
  <si>
    <t>Two or more races</t>
  </si>
  <si>
    <t>2/20/2012</t>
  </si>
  <si>
    <t>Kelley Spirea</t>
  </si>
  <si>
    <t>2/14/2019</t>
  </si>
  <si>
    <t>07/15/77</t>
  </si>
  <si>
    <t>On-line Web application</t>
  </si>
  <si>
    <t>10/18/81</t>
  </si>
  <si>
    <t>2/21/2011</t>
  </si>
  <si>
    <t>attendance</t>
  </si>
  <si>
    <t>Terminated for Cause</t>
  </si>
  <si>
    <t>04/17/66</t>
  </si>
  <si>
    <t>7/21/2016</t>
  </si>
  <si>
    <t>4.40</t>
  </si>
  <si>
    <t>1/14/2019</t>
  </si>
  <si>
    <t>10/27/70</t>
  </si>
  <si>
    <t>Eligible NonCitizen</t>
  </si>
  <si>
    <t>Database Administrator</t>
  </si>
  <si>
    <t>performance</t>
  </si>
  <si>
    <t>4.50</t>
  </si>
  <si>
    <t>1/15/2015</t>
  </si>
  <si>
    <t>Asian</t>
  </si>
  <si>
    <t>12/22/70</t>
  </si>
  <si>
    <t>12/27/58</t>
  </si>
  <si>
    <t>8/19/2013</t>
  </si>
  <si>
    <t>2/27/2019</t>
  </si>
  <si>
    <t>09/21/90</t>
  </si>
  <si>
    <t>CareerBuilder</t>
  </si>
  <si>
    <t>Needs Improvement</t>
  </si>
  <si>
    <t>2.00</t>
  </si>
  <si>
    <t>01/16/67</t>
  </si>
  <si>
    <t>4.80</t>
  </si>
  <si>
    <t>Enterprise Architect</t>
  </si>
  <si>
    <t>CT</t>
  </si>
  <si>
    <t>07/30/64</t>
  </si>
  <si>
    <t>2/17/2014</t>
  </si>
  <si>
    <t>2/19/2016</t>
  </si>
  <si>
    <t>Learned that he is a gangster</t>
  </si>
  <si>
    <t>3.50</t>
  </si>
  <si>
    <t>Sr. Accountant</t>
  </si>
  <si>
    <t>2/16/2015</t>
  </si>
  <si>
    <t>Admin Offices</t>
  </si>
  <si>
    <t>Brandon R. LeBlanc</t>
  </si>
  <si>
    <t>Production Manager</t>
  </si>
  <si>
    <t>retiring</t>
  </si>
  <si>
    <t>Janet King</t>
  </si>
  <si>
    <t>3.39</t>
  </si>
  <si>
    <t>2/20/2014</t>
  </si>
  <si>
    <t>08/24/90</t>
  </si>
  <si>
    <t>6/15/2013</t>
  </si>
  <si>
    <t>3.35</t>
  </si>
  <si>
    <t>Accountant I</t>
  </si>
  <si>
    <t>11/24/87</t>
  </si>
  <si>
    <t>10/27/2008</t>
  </si>
  <si>
    <t>1/15/2019</t>
  </si>
  <si>
    <t>07/28/83</t>
  </si>
  <si>
    <t>9/29/2014</t>
  </si>
  <si>
    <t>3.19</t>
  </si>
  <si>
    <t>10/30/69</t>
  </si>
  <si>
    <t>Separated</t>
  </si>
  <si>
    <t>1/21/2019</t>
  </si>
  <si>
    <t>Area Sales Manager</t>
  </si>
  <si>
    <t>VA</t>
  </si>
  <si>
    <t>8/15/2011</t>
  </si>
  <si>
    <t>Sales</t>
  </si>
  <si>
    <t>John Smith</t>
  </si>
  <si>
    <t>3.14</t>
  </si>
  <si>
    <t>4.51</t>
  </si>
  <si>
    <t>2/21/2019</t>
  </si>
  <si>
    <t>08/19/77</t>
  </si>
  <si>
    <t>3.25</t>
  </si>
  <si>
    <t>Software Engineering Manager</t>
  </si>
  <si>
    <t>11/22/66</t>
  </si>
  <si>
    <t>Jennifer Zamora</t>
  </si>
  <si>
    <t>3.84</t>
  </si>
  <si>
    <t>1/28/2016</t>
  </si>
  <si>
    <t>2/22/2019</t>
  </si>
  <si>
    <t>1/30/2019</t>
  </si>
  <si>
    <t>3/31/2014</t>
  </si>
  <si>
    <t>4.43</t>
  </si>
  <si>
    <t>6/30/2016</t>
  </si>
  <si>
    <t>VT</t>
  </si>
  <si>
    <t>05/15/63</t>
  </si>
  <si>
    <t>8/18/2014</t>
  </si>
  <si>
    <t>BI Director</t>
  </si>
  <si>
    <t>3.30</t>
  </si>
  <si>
    <t>2/19/2019</t>
  </si>
  <si>
    <t>08/24/83</t>
  </si>
  <si>
    <t>3.80</t>
  </si>
  <si>
    <t>5/14/2012</t>
  </si>
  <si>
    <t>Lynn Daneault</t>
  </si>
  <si>
    <t>3.00</t>
  </si>
  <si>
    <t>1/19/2019</t>
  </si>
  <si>
    <t>08/27/83</t>
  </si>
  <si>
    <t>6/27/2011</t>
  </si>
  <si>
    <t>11/15/2015</t>
  </si>
  <si>
    <t>relocation out of area</t>
  </si>
  <si>
    <t>4.30</t>
  </si>
  <si>
    <t>05/31/88</t>
  </si>
  <si>
    <t>Non-Citizen</t>
  </si>
  <si>
    <t>3.58</t>
  </si>
  <si>
    <t>Eric Dougall</t>
  </si>
  <si>
    <t>4.70</t>
  </si>
  <si>
    <t>08/31/81</t>
  </si>
  <si>
    <t>5/16/2011</t>
  </si>
  <si>
    <t>11/25/78</t>
  </si>
  <si>
    <t>8/30/2010</t>
  </si>
  <si>
    <t>9/26/2011</t>
  </si>
  <si>
    <t>08/26/80</t>
  </si>
  <si>
    <t>4.10</t>
  </si>
  <si>
    <t>2/28/2019</t>
  </si>
  <si>
    <t>9/23/2016</t>
  </si>
  <si>
    <t>12/17/75</t>
  </si>
  <si>
    <t>7/20/2010</t>
  </si>
  <si>
    <t>4.13</t>
  </si>
  <si>
    <t>Director of Operations</t>
  </si>
  <si>
    <t>03/19/83</t>
  </si>
  <si>
    <t>3.70</t>
  </si>
  <si>
    <t>03/31/77</t>
  </si>
  <si>
    <t>4.73</t>
  </si>
  <si>
    <t>08/26/86</t>
  </si>
  <si>
    <t>1/22/2019</t>
  </si>
  <si>
    <t>4.12</t>
  </si>
  <si>
    <t>1/28/2019</t>
  </si>
  <si>
    <t>Sr. Network Engineer</t>
  </si>
  <si>
    <t>Sales Manager</t>
  </si>
  <si>
    <t>04/19/90</t>
  </si>
  <si>
    <t>Debra Houlihan</t>
  </si>
  <si>
    <t>4.62</t>
  </si>
  <si>
    <t>1/24/2019</t>
  </si>
  <si>
    <t>01/18/52</t>
  </si>
  <si>
    <t>3.10</t>
  </si>
  <si>
    <t>09/14/79</t>
  </si>
  <si>
    <t>3.96</t>
  </si>
  <si>
    <t>04/15/88</t>
  </si>
  <si>
    <t>4.3</t>
  </si>
  <si>
    <t>1/31/2019</t>
  </si>
  <si>
    <t>10/31/77</t>
  </si>
  <si>
    <t>3.79</t>
  </si>
  <si>
    <t>AL</t>
  </si>
  <si>
    <t>PIP</t>
  </si>
  <si>
    <t>1.93</t>
  </si>
  <si>
    <t>02/25/51</t>
  </si>
  <si>
    <t>more money</t>
  </si>
  <si>
    <t>04/19/67</t>
  </si>
  <si>
    <t>1.12</t>
  </si>
  <si>
    <t>BI Developer</t>
  </si>
  <si>
    <t>2/15/2017</t>
  </si>
  <si>
    <t>Brian Champaigne</t>
  </si>
  <si>
    <t>3.01</t>
  </si>
  <si>
    <t>1/23/2019</t>
  </si>
  <si>
    <t>11/15/82</t>
  </si>
  <si>
    <t>WA</t>
  </si>
  <si>
    <t>05/14/87</t>
  </si>
  <si>
    <t>Website</t>
  </si>
  <si>
    <t>2.30</t>
  </si>
  <si>
    <t>1/29/2019</t>
  </si>
  <si>
    <t>3.88</t>
  </si>
  <si>
    <t>1/18/2019</t>
  </si>
  <si>
    <t>3.40</t>
  </si>
  <si>
    <t>07/18/88</t>
  </si>
  <si>
    <t>4.11</t>
  </si>
  <si>
    <t>IT Manager - Support</t>
  </si>
  <si>
    <t>CA</t>
  </si>
  <si>
    <t>4.77</t>
  </si>
  <si>
    <t>1/27/2019</t>
  </si>
  <si>
    <t>11/28/73</t>
  </si>
  <si>
    <t>9/18/2014</t>
  </si>
  <si>
    <t>4.52</t>
  </si>
  <si>
    <t>09/23/73</t>
  </si>
  <si>
    <t>4/26/2010</t>
  </si>
  <si>
    <t>2.90</t>
  </si>
  <si>
    <t>military</t>
  </si>
  <si>
    <t>05/31/74</t>
  </si>
  <si>
    <t>2/13/2019</t>
  </si>
  <si>
    <t>08/25/78</t>
  </si>
  <si>
    <t>08/25/89</t>
  </si>
  <si>
    <t>9/27/2018</t>
  </si>
  <si>
    <t>2/25/2018</t>
  </si>
  <si>
    <t>no-call, no-show</t>
  </si>
  <si>
    <t>1/15/2017</t>
  </si>
  <si>
    <t>05/15/87</t>
  </si>
  <si>
    <t>2.10</t>
  </si>
  <si>
    <t>09/22/78</t>
  </si>
  <si>
    <t>09/27/87</t>
  </si>
  <si>
    <t>4.00</t>
  </si>
  <si>
    <t>04/14/55</t>
  </si>
  <si>
    <t>5/17/2016</t>
  </si>
  <si>
    <t>3.13</t>
  </si>
  <si>
    <t>10/18/89</t>
  </si>
  <si>
    <t>1.56</t>
  </si>
  <si>
    <t>Network Engineer</t>
  </si>
  <si>
    <t>06/18/87</t>
  </si>
  <si>
    <t>1.20</t>
  </si>
  <si>
    <t>03/16/81</t>
  </si>
  <si>
    <t>6/24/2013</t>
  </si>
  <si>
    <t>4.76</t>
  </si>
  <si>
    <t>3.66</t>
  </si>
  <si>
    <t>8/19/2018</t>
  </si>
  <si>
    <t>Fatal attraction</t>
  </si>
  <si>
    <t>IT Director</t>
  </si>
  <si>
    <t>4/15/2011</t>
  </si>
  <si>
    <t>04/16/79</t>
  </si>
  <si>
    <t>no</t>
  </si>
  <si>
    <t>Board of Directors</t>
  </si>
  <si>
    <t>Other</t>
  </si>
  <si>
    <t>08/28/63</t>
  </si>
  <si>
    <t>09/15/85</t>
  </si>
  <si>
    <t>2/26/2019</t>
  </si>
  <si>
    <t>3.73</t>
  </si>
  <si>
    <t>1/16/2019</t>
  </si>
  <si>
    <t>05/15/70</t>
  </si>
  <si>
    <t>11/15/2016</t>
  </si>
  <si>
    <t>4.24</t>
  </si>
  <si>
    <t>4/29/2016</t>
  </si>
  <si>
    <t>OH</t>
  </si>
  <si>
    <t>3.97</t>
  </si>
  <si>
    <t>1/15/2014</t>
  </si>
  <si>
    <t>6/25/2015</t>
  </si>
  <si>
    <t>1/20/2015</t>
  </si>
  <si>
    <t>3.90</t>
  </si>
  <si>
    <t>IN</t>
  </si>
  <si>
    <t>09/22/89</t>
  </si>
  <si>
    <t>10/23/71</t>
  </si>
  <si>
    <t>3/15/2015</t>
  </si>
  <si>
    <t>11/24/89</t>
  </si>
  <si>
    <t>06/18/92</t>
  </si>
  <si>
    <t>09/29/69</t>
  </si>
  <si>
    <t>5/30/2011</t>
  </si>
  <si>
    <t>04/16/81</t>
  </si>
  <si>
    <t>4.61</t>
  </si>
  <si>
    <t>05/25/86</t>
  </si>
  <si>
    <t>05/21/79</t>
  </si>
  <si>
    <t>American Indian or Alaska Native</t>
  </si>
  <si>
    <t>2/15/2019</t>
  </si>
  <si>
    <t>4.63</t>
  </si>
  <si>
    <t>05/21/83</t>
  </si>
  <si>
    <t>06/30/89</t>
  </si>
  <si>
    <t>4/20/2017</t>
  </si>
  <si>
    <t>TN</t>
  </si>
  <si>
    <t>10/31/2014</t>
  </si>
  <si>
    <t>03/23/77</t>
  </si>
  <si>
    <t>11/28/2011</t>
  </si>
  <si>
    <t>08/18/52</t>
  </si>
  <si>
    <t>12/15/2015</t>
  </si>
  <si>
    <t>4.64</t>
  </si>
  <si>
    <t>8/13/2012</t>
  </si>
  <si>
    <t>4.17</t>
  </si>
  <si>
    <t>08/27/72</t>
  </si>
  <si>
    <t>6/18/2013</t>
  </si>
  <si>
    <t>1/30/2013</t>
  </si>
  <si>
    <t>NH</t>
  </si>
  <si>
    <t>09/14/88</t>
  </si>
  <si>
    <t>3.60</t>
  </si>
  <si>
    <t>02/16/84</t>
  </si>
  <si>
    <t>3.03</t>
  </si>
  <si>
    <t>02/21/84</t>
  </si>
  <si>
    <t>4.48</t>
  </si>
  <si>
    <t>Director of Sales</t>
  </si>
  <si>
    <t>RI</t>
  </si>
  <si>
    <t>03/17/66</t>
  </si>
  <si>
    <t>Administrative Assistant</t>
  </si>
  <si>
    <t>09/16/85</t>
  </si>
  <si>
    <t>4/15/2015</t>
  </si>
  <si>
    <t>3.24</t>
  </si>
  <si>
    <t>09/22/76</t>
  </si>
  <si>
    <t>3.72</t>
  </si>
  <si>
    <t>11/15/76</t>
  </si>
  <si>
    <t>2.34</t>
  </si>
  <si>
    <t>01/28/91</t>
  </si>
  <si>
    <t>3.99</t>
  </si>
  <si>
    <t>03/22/66</t>
  </si>
  <si>
    <t>04/13/64</t>
  </si>
  <si>
    <t>08/19/59</t>
  </si>
  <si>
    <t>4/29/2018</t>
  </si>
  <si>
    <t>2/14/2018</t>
  </si>
  <si>
    <t>3.75</t>
  </si>
  <si>
    <t>04/17/86</t>
  </si>
  <si>
    <t>PA</t>
  </si>
  <si>
    <t>4/24/2014</t>
  </si>
  <si>
    <t>maternity leave - did not return</t>
  </si>
  <si>
    <t>3/30/2013</t>
  </si>
  <si>
    <t>01/19/76</t>
  </si>
  <si>
    <t>3.07</t>
  </si>
  <si>
    <t>CO</t>
  </si>
  <si>
    <t>11/27/79</t>
  </si>
  <si>
    <t>President &amp; CEO</t>
  </si>
  <si>
    <t>09/21/54</t>
  </si>
  <si>
    <t>Executive Office</t>
  </si>
  <si>
    <t>4.83</t>
  </si>
  <si>
    <t>3.49</t>
  </si>
  <si>
    <t>3.38</t>
  </si>
  <si>
    <t>NY</t>
  </si>
  <si>
    <t>02/24/69</t>
  </si>
  <si>
    <t>3.65</t>
  </si>
  <si>
    <t>04/23/86</t>
  </si>
  <si>
    <t>4.78</t>
  </si>
  <si>
    <t>2/15/2015</t>
  </si>
  <si>
    <t>07/25/79</t>
  </si>
  <si>
    <t>04/26/84</t>
  </si>
  <si>
    <t>4/15/2013</t>
  </si>
  <si>
    <t>4.90</t>
  </si>
  <si>
    <t>2/20/2013</t>
  </si>
  <si>
    <t>Senior BI Developer</t>
  </si>
  <si>
    <t>06/14/87</t>
  </si>
  <si>
    <t>01/17/79</t>
  </si>
  <si>
    <t>4.88</t>
  </si>
  <si>
    <t>Shared Services Manager</t>
  </si>
  <si>
    <t>UT</t>
  </si>
  <si>
    <t>12/27/88</t>
  </si>
  <si>
    <t>4/30/2012</t>
  </si>
  <si>
    <t>4.53</t>
  </si>
  <si>
    <t>10/26/81</t>
  </si>
  <si>
    <t>03/26/81</t>
  </si>
  <si>
    <t>9/26/2018</t>
  </si>
  <si>
    <t>3.18</t>
  </si>
  <si>
    <t>03/19/79</t>
  </si>
  <si>
    <t>1/21/2011</t>
  </si>
  <si>
    <t>12/26/76</t>
  </si>
  <si>
    <t>9/15/2016</t>
  </si>
  <si>
    <t>4.65</t>
  </si>
  <si>
    <t>03/28/82</t>
  </si>
  <si>
    <t>10/22/75</t>
  </si>
  <si>
    <t>02/14/73</t>
  </si>
  <si>
    <t>11/14/2015</t>
  </si>
  <si>
    <t>9/26/2017</t>
  </si>
  <si>
    <t>3.08</t>
  </si>
  <si>
    <t>08/25/76</t>
  </si>
  <si>
    <t>8/19/2012</t>
  </si>
  <si>
    <t>11/22/77</t>
  </si>
  <si>
    <t>5/31/2011</t>
  </si>
  <si>
    <t>05/21/87</t>
  </si>
  <si>
    <t>3.93</t>
  </si>
  <si>
    <t>05/30/68</t>
  </si>
  <si>
    <t>4.18</t>
  </si>
  <si>
    <t>yes</t>
  </si>
  <si>
    <t>Hispanic</t>
  </si>
  <si>
    <t>8/16/2012</t>
  </si>
  <si>
    <t>4.37</t>
  </si>
  <si>
    <t>06/29/85</t>
  </si>
  <si>
    <t>1/14/2013</t>
  </si>
  <si>
    <t>08/17/92</t>
  </si>
  <si>
    <t>IT Manager - Infra</t>
  </si>
  <si>
    <t>2/15/2012</t>
  </si>
  <si>
    <t>2.39</t>
  </si>
  <si>
    <t>04/24/70</t>
  </si>
  <si>
    <t>5/13/2013</t>
  </si>
  <si>
    <t>3.81</t>
  </si>
  <si>
    <t>4.29</t>
  </si>
  <si>
    <t>04/18/80</t>
  </si>
  <si>
    <t>04/25/70</t>
  </si>
  <si>
    <t>03/28/83</t>
  </si>
  <si>
    <t>5/25/2016</t>
  </si>
  <si>
    <t>GA</t>
  </si>
  <si>
    <t>03/31/89</t>
  </si>
  <si>
    <t>11/23/85</t>
  </si>
  <si>
    <t>09/30/80</t>
  </si>
  <si>
    <t>2.33</t>
  </si>
  <si>
    <t>FL</t>
  </si>
  <si>
    <t>11/24/79</t>
  </si>
  <si>
    <t>4.25</t>
  </si>
  <si>
    <t>NC</t>
  </si>
  <si>
    <t>05/19/82</t>
  </si>
  <si>
    <t>3.89</t>
  </si>
  <si>
    <t>02/20/79</t>
  </si>
  <si>
    <t>8/16/2015</t>
  </si>
  <si>
    <t>1/16/2016</t>
  </si>
  <si>
    <t>03/17/88</t>
  </si>
  <si>
    <t>12/28/2017</t>
  </si>
  <si>
    <t>3.54</t>
  </si>
  <si>
    <t>07/18/89</t>
  </si>
  <si>
    <t>9/15/2015</t>
  </si>
  <si>
    <t>2.40</t>
  </si>
  <si>
    <t>07/20/86</t>
  </si>
  <si>
    <t>10/25/2015</t>
  </si>
  <si>
    <t>medical issues</t>
  </si>
  <si>
    <t>3.45</t>
  </si>
  <si>
    <t>5/13/2014</t>
  </si>
  <si>
    <t>08/17/86</t>
  </si>
  <si>
    <t>10/25/2010</t>
  </si>
  <si>
    <t>5/18/2016</t>
  </si>
  <si>
    <t>4.16</t>
  </si>
  <si>
    <t>09/16/84</t>
  </si>
  <si>
    <t>11/30/2012</t>
  </si>
  <si>
    <t>11/23/81</t>
  </si>
  <si>
    <t>KY</t>
  </si>
  <si>
    <t>08/29/88</t>
  </si>
  <si>
    <t>10/15/84</t>
  </si>
  <si>
    <t>3.17</t>
  </si>
  <si>
    <t>06/19/61</t>
  </si>
  <si>
    <t>09/22/70</t>
  </si>
  <si>
    <t>8/15/2015</t>
  </si>
  <si>
    <t>4.15</t>
  </si>
  <si>
    <t>4/19/2014</t>
  </si>
  <si>
    <t>12/31/84</t>
  </si>
  <si>
    <t>ID</t>
  </si>
  <si>
    <t>3.98</t>
  </si>
  <si>
    <t>07/22/82</t>
  </si>
  <si>
    <t>1/15/2016</t>
  </si>
  <si>
    <t>4.36</t>
  </si>
  <si>
    <t>10/22/2011</t>
  </si>
  <si>
    <t>1/26/2016</t>
  </si>
  <si>
    <t>01/28/85</t>
  </si>
  <si>
    <t>3.69</t>
  </si>
  <si>
    <t>Principal Data Architect</t>
  </si>
  <si>
    <t>05/27/73</t>
  </si>
  <si>
    <t>2/13/2018</t>
  </si>
  <si>
    <t>Data Architect</t>
  </si>
  <si>
    <t>11/21/72</t>
  </si>
  <si>
    <t>4.94</t>
  </si>
  <si>
    <t>03/18/87</t>
  </si>
  <si>
    <t>8/13/2018</t>
  </si>
  <si>
    <t>IT Manager - DB</t>
  </si>
  <si>
    <t>1/20/2013</t>
  </si>
  <si>
    <t>07/24/86</t>
  </si>
  <si>
    <t>2.60</t>
  </si>
  <si>
    <t>12/21/74</t>
  </si>
  <si>
    <t>7/30/2018</t>
  </si>
  <si>
    <t>04/26/86</t>
  </si>
  <si>
    <t xml:space="preserve">Data Analyst </t>
  </si>
  <si>
    <t>12/17/87</t>
  </si>
  <si>
    <t>10/31/2015</t>
  </si>
  <si>
    <t>4/20/2015</t>
  </si>
  <si>
    <t>3.51</t>
  </si>
  <si>
    <t>04/14/81</t>
  </si>
  <si>
    <t>9/30/2014</t>
  </si>
  <si>
    <t>3.31</t>
  </si>
  <si>
    <t>08/24/85</t>
  </si>
  <si>
    <t>4.81</t>
  </si>
  <si>
    <t>3.32</t>
  </si>
  <si>
    <t>05/19/88</t>
  </si>
  <si>
    <t>11/25/87</t>
  </si>
  <si>
    <t>10/26/2009</t>
  </si>
  <si>
    <t>4.68</t>
  </si>
  <si>
    <t>10/30/63</t>
  </si>
  <si>
    <t>08/16/84</t>
  </si>
  <si>
    <t>5/18/2014</t>
  </si>
  <si>
    <t>9/25/2013</t>
  </si>
  <si>
    <t>8/15/2013</t>
  </si>
  <si>
    <t>3.27</t>
  </si>
  <si>
    <t>07/20/68</t>
  </si>
  <si>
    <t>09/30/75</t>
  </si>
  <si>
    <t>03/26/73</t>
  </si>
  <si>
    <t>6/29/2015</t>
  </si>
  <si>
    <t>08/25/82</t>
  </si>
  <si>
    <t>NV</t>
  </si>
  <si>
    <t>1.81</t>
  </si>
  <si>
    <t>03/14/85</t>
  </si>
  <si>
    <t>MT</t>
  </si>
  <si>
    <t>9/27/2010</t>
  </si>
  <si>
    <t>03/28/78</t>
  </si>
  <si>
    <t>08/15/68</t>
  </si>
  <si>
    <t>10/24/87</t>
  </si>
  <si>
    <t>4/27/2009</t>
  </si>
  <si>
    <t>05/24/53</t>
  </si>
  <si>
    <t>4/18/2017</t>
  </si>
  <si>
    <t>OR</t>
  </si>
  <si>
    <t>09/16/75</t>
  </si>
  <si>
    <t>6/25/2007</t>
  </si>
  <si>
    <t>7/14/2010</t>
  </si>
  <si>
    <t>2/18/2013</t>
  </si>
  <si>
    <t>4.21</t>
  </si>
  <si>
    <t>ND</t>
  </si>
  <si>
    <t>01/15/68</t>
  </si>
  <si>
    <t>05/16/83</t>
  </si>
  <si>
    <t>2.44</t>
  </si>
  <si>
    <t>06/14/83</t>
  </si>
  <si>
    <t>4/15/2018</t>
  </si>
  <si>
    <t>03/15/85</t>
  </si>
  <si>
    <t>03/31/69</t>
  </si>
  <si>
    <t>AZ</t>
  </si>
  <si>
    <t>05/23/91</t>
  </si>
  <si>
    <t>2.81</t>
  </si>
  <si>
    <t>01/31/87</t>
  </si>
  <si>
    <t>ME</t>
  </si>
  <si>
    <t>2/22/2017</t>
  </si>
  <si>
    <t>4.33</t>
  </si>
  <si>
    <t>gross misconduct</t>
  </si>
  <si>
    <t>3.21</t>
  </si>
  <si>
    <t>3.11</t>
  </si>
  <si>
    <t>11/14/55</t>
  </si>
  <si>
    <t>2.50</t>
  </si>
  <si>
    <t>3.42</t>
  </si>
  <si>
    <t>05/24/87</t>
  </si>
  <si>
    <t>5/15/2014</t>
  </si>
  <si>
    <t>07/30/83</t>
  </si>
  <si>
    <t>6/27/2015</t>
  </si>
  <si>
    <t>2/21/2016</t>
  </si>
  <si>
    <t>1/19/2016</t>
  </si>
  <si>
    <t>04/20/85</t>
  </si>
  <si>
    <t>4.07</t>
  </si>
  <si>
    <t>9/29/2015</t>
  </si>
  <si>
    <t>3.20</t>
  </si>
  <si>
    <t>CIO</t>
  </si>
  <si>
    <t>08/30/79</t>
  </si>
  <si>
    <t>02/24/79</t>
  </si>
  <si>
    <t>08/17/78</t>
  </si>
  <si>
    <t>MaritalStatuID</t>
  </si>
  <si>
    <t>GenderIS</t>
  </si>
  <si>
    <t>EmpstatutID</t>
  </si>
  <si>
    <t>FromDiver</t>
  </si>
  <si>
    <t>Psition</t>
  </si>
  <si>
    <t>MaritalDESC</t>
  </si>
  <si>
    <t>Citizedesc</t>
  </si>
  <si>
    <t>HispanicLatin</t>
  </si>
  <si>
    <t>Racedesc</t>
  </si>
  <si>
    <t>Dateofhire</t>
  </si>
  <si>
    <t>Dateoftermi</t>
  </si>
  <si>
    <t>Termreason</t>
  </si>
  <si>
    <t>Employement</t>
  </si>
  <si>
    <t>Managernat</t>
  </si>
  <si>
    <t>Recrutment</t>
  </si>
  <si>
    <t>Performance</t>
  </si>
  <si>
    <t>Engagement</t>
  </si>
  <si>
    <t>EmploySatisfy</t>
  </si>
  <si>
    <t>SpecialProjet</t>
  </si>
  <si>
    <t>LastPERF</t>
  </si>
  <si>
    <t>DayLatel</t>
  </si>
  <si>
    <t>Adinolfi  Wilson  K</t>
  </si>
  <si>
    <t xml:space="preserve">Ait Sidi  Karthikeyan   </t>
  </si>
  <si>
    <t>Akinkuolie  Sarah</t>
  </si>
  <si>
    <t>Alagbe Trina</t>
  </si>
  <si>
    <t xml:space="preserve">Anderson  Carol </t>
  </si>
  <si>
    <t xml:space="preserve">Anderson  Linda  </t>
  </si>
  <si>
    <t>Andreola  Colby</t>
  </si>
  <si>
    <t>Athwal  Sam</t>
  </si>
  <si>
    <t>Bachiochi  Linda</t>
  </si>
  <si>
    <t xml:space="preserve">Bacong  Alejandro </t>
  </si>
  <si>
    <t xml:space="preserve">Baczenski  Rachael  </t>
  </si>
  <si>
    <t>Barbara  Thomas</t>
  </si>
  <si>
    <t>Barbossa  Hector</t>
  </si>
  <si>
    <t>Barone  Francesco  A</t>
  </si>
  <si>
    <t>Barton  Nader</t>
  </si>
  <si>
    <t>Bates  Norman</t>
  </si>
  <si>
    <t xml:space="preserve">Beak  Kimberly  </t>
  </si>
  <si>
    <t xml:space="preserve">Beatrice  Courtney </t>
  </si>
  <si>
    <t>Becker  Renee</t>
  </si>
  <si>
    <t>Becker  Scott</t>
  </si>
  <si>
    <t>Bernstein  Sean</t>
  </si>
  <si>
    <t>Biden  Lowan  M</t>
  </si>
  <si>
    <t>Billis  Helen</t>
  </si>
  <si>
    <t>Blount  Dianna</t>
  </si>
  <si>
    <t>Bondwell  Betsy</t>
  </si>
  <si>
    <t>Booth  Frank</t>
  </si>
  <si>
    <t>Boutwell  Bonalyn</t>
  </si>
  <si>
    <t>Bozzi  Charles</t>
  </si>
  <si>
    <t>Brill  Donna</t>
  </si>
  <si>
    <t>Brown  Mia</t>
  </si>
  <si>
    <t xml:space="preserve">Buccheri  Joseph  </t>
  </si>
  <si>
    <t xml:space="preserve">Bugali  Josephine </t>
  </si>
  <si>
    <t>Bunbury  Jessica</t>
  </si>
  <si>
    <t>Burke  Joelle</t>
  </si>
  <si>
    <t xml:space="preserve">Burkett  Benjamin </t>
  </si>
  <si>
    <t xml:space="preserve">Cady  Max </t>
  </si>
  <si>
    <t>Candie  Calvin</t>
  </si>
  <si>
    <t>Carabbio  Judith</t>
  </si>
  <si>
    <t xml:space="preserve">Carey  Michael  </t>
  </si>
  <si>
    <t>Carr  Claudia  N</t>
  </si>
  <si>
    <t xml:space="preserve">Carter  Michelle </t>
  </si>
  <si>
    <t xml:space="preserve">Chace  Beatrice </t>
  </si>
  <si>
    <t>Champaigne  Brian</t>
  </si>
  <si>
    <t>Chan  Lin</t>
  </si>
  <si>
    <t>Chang  Donovan  E</t>
  </si>
  <si>
    <t>Chigurh  Anton</t>
  </si>
  <si>
    <t>Chivukula  Enola</t>
  </si>
  <si>
    <t xml:space="preserve">Cierpiszewski  Caroline  </t>
  </si>
  <si>
    <t>Clayton  Rick</t>
  </si>
  <si>
    <t>Cloninger  Jennifer</t>
  </si>
  <si>
    <t>Close  Phil</t>
  </si>
  <si>
    <t>Clukey  Elijian</t>
  </si>
  <si>
    <t>Cockel  James</t>
  </si>
  <si>
    <t>Cole  Spencer</t>
  </si>
  <si>
    <t>Corleone  Michael</t>
  </si>
  <si>
    <t>Corleone  Vito</t>
  </si>
  <si>
    <t xml:space="preserve">Cornett  Lisa </t>
  </si>
  <si>
    <t>Costello  Frank</t>
  </si>
  <si>
    <t>Crimmings    Jean</t>
  </si>
  <si>
    <t>Cross  Noah</t>
  </si>
  <si>
    <t>Daneault  Lynn</t>
  </si>
  <si>
    <t xml:space="preserve">Daniele  Ann  </t>
  </si>
  <si>
    <t xml:space="preserve">Darson  Jene'ya </t>
  </si>
  <si>
    <t>Davis  Daniel</t>
  </si>
  <si>
    <t>Dee  Randy</t>
  </si>
  <si>
    <t>DeGweck   James</t>
  </si>
  <si>
    <t>Del Bosque  Keyla</t>
  </si>
  <si>
    <t>Delarge  Alex</t>
  </si>
  <si>
    <t>Demita  Carla</t>
  </si>
  <si>
    <t xml:space="preserve">Desimone  Carl </t>
  </si>
  <si>
    <t>DeVito  Tommy</t>
  </si>
  <si>
    <t xml:space="preserve">Dickinson  Geoff </t>
  </si>
  <si>
    <t xml:space="preserve">Dietrich  Jenna  </t>
  </si>
  <si>
    <t xml:space="preserve">DiNocco  Lily </t>
  </si>
  <si>
    <t>Dobrin  Denisa  S</t>
  </si>
  <si>
    <t>Dolan  Linda</t>
  </si>
  <si>
    <t>Dougall  Eric</t>
  </si>
  <si>
    <t>Driver  Elle</t>
  </si>
  <si>
    <t xml:space="preserve">Dunn  Amy  </t>
  </si>
  <si>
    <t>Dunne  Amy</t>
  </si>
  <si>
    <t>Eaton  Marianne</t>
  </si>
  <si>
    <t>Engdahl  Jean</t>
  </si>
  <si>
    <t>England  Rex</t>
  </si>
  <si>
    <t>Erilus  Angela</t>
  </si>
  <si>
    <t>Estremera  Miguel</t>
  </si>
  <si>
    <t>Evensen  April</t>
  </si>
  <si>
    <t>Exantus  Susan</t>
  </si>
  <si>
    <t xml:space="preserve">Faller  Megan </t>
  </si>
  <si>
    <t>Fancett  Nicole</t>
  </si>
  <si>
    <t>Ferguson  Susan</t>
  </si>
  <si>
    <t xml:space="preserve">Fernandes  Nilson  </t>
  </si>
  <si>
    <t>Fett  Boba</t>
  </si>
  <si>
    <t>Fidelia   Libby</t>
  </si>
  <si>
    <t>Fitzpatrick  Michael  J</t>
  </si>
  <si>
    <t>Foreman  Tanya</t>
  </si>
  <si>
    <t>Forrest  Alex</t>
  </si>
  <si>
    <t>Foss  Jason</t>
  </si>
  <si>
    <t>Foster-Baker  Amy</t>
  </si>
  <si>
    <t xml:space="preserve">Fraval  Maruk </t>
  </si>
  <si>
    <t>Galia  Lisa</t>
  </si>
  <si>
    <t>Garcia  Raul</t>
  </si>
  <si>
    <t>Gaul  Barbara</t>
  </si>
  <si>
    <t>Gentry  Mildred</t>
  </si>
  <si>
    <t>Gerke  Melisa</t>
  </si>
  <si>
    <t xml:space="preserve">Gill  Whitney  </t>
  </si>
  <si>
    <t>Gilles  Alex</t>
  </si>
  <si>
    <t>Girifalco  Evelyn</t>
  </si>
  <si>
    <t>Givens  Myriam</t>
  </si>
  <si>
    <t>Goble  Taisha</t>
  </si>
  <si>
    <t>Goeth  Amon</t>
  </si>
  <si>
    <t xml:space="preserve">Gold  Shenice  </t>
  </si>
  <si>
    <t>Gonzalez  Cayo</t>
  </si>
  <si>
    <t>Gonzalez  Juan</t>
  </si>
  <si>
    <t>Gonzalez  Maria</t>
  </si>
  <si>
    <t>Good  Susan</t>
  </si>
  <si>
    <t>Gordon  David</t>
  </si>
  <si>
    <t xml:space="preserve">Gosciminski  Phylicia  </t>
  </si>
  <si>
    <t>Goyal  Roxana</t>
  </si>
  <si>
    <t xml:space="preserve">Gray  Elijiah  </t>
  </si>
  <si>
    <t>Gross  Paula</t>
  </si>
  <si>
    <t>Gruber  Hans</t>
  </si>
  <si>
    <t>Guilianno  Mike</t>
  </si>
  <si>
    <t>Handschiegl  Joanne</t>
  </si>
  <si>
    <t>Hankard  Earnest</t>
  </si>
  <si>
    <t xml:space="preserve">Harrington  Christie </t>
  </si>
  <si>
    <t>Harrison  Kara</t>
  </si>
  <si>
    <t>Heitzman  Anthony</t>
  </si>
  <si>
    <t>Hendrickson  Trina</t>
  </si>
  <si>
    <t>Hitchcock  Alfred</t>
  </si>
  <si>
    <t>Homberger  Adrienne  J</t>
  </si>
  <si>
    <t>Horton  Jayne</t>
  </si>
  <si>
    <t>Houlihan  Debra</t>
  </si>
  <si>
    <t>Howard  Estelle</t>
  </si>
  <si>
    <t>Hudson  Jane</t>
  </si>
  <si>
    <t>Hunts  Julissa</t>
  </si>
  <si>
    <t>Hutter  Rosalie</t>
  </si>
  <si>
    <t>Huynh  Ming</t>
  </si>
  <si>
    <t>Immediato  Walter</t>
  </si>
  <si>
    <t xml:space="preserve">Ivey  Rose </t>
  </si>
  <si>
    <t>Jackson  Maryellen</t>
  </si>
  <si>
    <t xml:space="preserve">Jacobi  Hannah  </t>
  </si>
  <si>
    <t>Jeannite  Tayana</t>
  </si>
  <si>
    <t xml:space="preserve">Jhaveri  Sneha  </t>
  </si>
  <si>
    <t>Johnson  George</t>
  </si>
  <si>
    <t xml:space="preserve">Johnson  Noelle </t>
  </si>
  <si>
    <t>Johnston  Yen</t>
  </si>
  <si>
    <t xml:space="preserve">Jung  Judy  </t>
  </si>
  <si>
    <t>Kampew  Donysha</t>
  </si>
  <si>
    <t xml:space="preserve">Keatts  Kramer </t>
  </si>
  <si>
    <t>Khemmich  Bartholemew</t>
  </si>
  <si>
    <t>King  Janet</t>
  </si>
  <si>
    <t xml:space="preserve">Kinsella  Kathleen  </t>
  </si>
  <si>
    <t xml:space="preserve">Kirill  Alexandra  </t>
  </si>
  <si>
    <t>Knapp  Bradley  J</t>
  </si>
  <si>
    <t>Kretschmer  John</t>
  </si>
  <si>
    <t>Kreuger  Freddy</t>
  </si>
  <si>
    <t>Lajiri   Jyoti</t>
  </si>
  <si>
    <t>Landa  Hans</t>
  </si>
  <si>
    <t>Langford  Lindsey</t>
  </si>
  <si>
    <t>Langton  Enrico</t>
  </si>
  <si>
    <t xml:space="preserve">LaRotonda  William  </t>
  </si>
  <si>
    <t>Latif  Mohammed</t>
  </si>
  <si>
    <t>Le  Binh</t>
  </si>
  <si>
    <t>Leach  Dallas</t>
  </si>
  <si>
    <t>LeBlanc  Brandon  R</t>
  </si>
  <si>
    <t>Lecter  Hannibal</t>
  </si>
  <si>
    <t>Leruth  Giovanni</t>
  </si>
  <si>
    <t>Liebig  Ketsia</t>
  </si>
  <si>
    <t xml:space="preserve">Linares  Marilyn </t>
  </si>
  <si>
    <t>Linden  Mathew</t>
  </si>
  <si>
    <t xml:space="preserve">Lindsay  Leonara </t>
  </si>
  <si>
    <t>Lundy  Susan</t>
  </si>
  <si>
    <t>Lunquist  Lisa</t>
  </si>
  <si>
    <t>Lydon  Allison</t>
  </si>
  <si>
    <t>Lynch  Lindsay</t>
  </si>
  <si>
    <t>MacLennan  Samuel</t>
  </si>
  <si>
    <t xml:space="preserve">Mahoney  Lauren  </t>
  </si>
  <si>
    <t>Manchester  Robyn</t>
  </si>
  <si>
    <t>Mancuso  Karen</t>
  </si>
  <si>
    <t>Mangal  Debbie</t>
  </si>
  <si>
    <t>Martin  Sandra</t>
  </si>
  <si>
    <t>Maurice  Shana</t>
  </si>
  <si>
    <t>Carthy  B'rigit</t>
  </si>
  <si>
    <t>Mckenna  Sandy</t>
  </si>
  <si>
    <t>McKinzie  Jac</t>
  </si>
  <si>
    <t>Meads  Elizabeth</t>
  </si>
  <si>
    <t>Medeiros  Jennifer</t>
  </si>
  <si>
    <t>Miller  Brannon</t>
  </si>
  <si>
    <t>Miller  Ned</t>
  </si>
  <si>
    <t>Monkfish  Erasumus</t>
  </si>
  <si>
    <t>Monroe  Peter</t>
  </si>
  <si>
    <t>Monterro  Luisa</t>
  </si>
  <si>
    <t>Moran  Patrick</t>
  </si>
  <si>
    <t>Morway  Tanya</t>
  </si>
  <si>
    <t>Motlagh   Dawn</t>
  </si>
  <si>
    <t xml:space="preserve">Moumanil  Maliki </t>
  </si>
  <si>
    <t>Myers  Michael</t>
  </si>
  <si>
    <t>Navathe  Kurt</t>
  </si>
  <si>
    <t>Ndzi  Colombui</t>
  </si>
  <si>
    <t>Ndzi  Horia</t>
  </si>
  <si>
    <t xml:space="preserve">Newman  Richard </t>
  </si>
  <si>
    <t xml:space="preserve">Ngodup  Shari </t>
  </si>
  <si>
    <t>Nguyen  Dheepa</t>
  </si>
  <si>
    <t>Nguyen  Lei-Ming</t>
  </si>
  <si>
    <t>Nowlan  Kristie</t>
  </si>
  <si>
    <t>O'hare  Lynn</t>
  </si>
  <si>
    <t xml:space="preserve">Oliver  Brooke </t>
  </si>
  <si>
    <t>Onque  Jasmine</t>
  </si>
  <si>
    <t>Osturnka  Adeel</t>
  </si>
  <si>
    <t>Owad  Clinton</t>
  </si>
  <si>
    <t>Ozark  Travis</t>
  </si>
  <si>
    <t>Panjwani  Nina</t>
  </si>
  <si>
    <t>Patronick  Lucas</t>
  </si>
  <si>
    <t>Pearson  Randall</t>
  </si>
  <si>
    <t>Smith  Martin</t>
  </si>
  <si>
    <t>Pelletier  Ermine</t>
  </si>
  <si>
    <t>Perry  Shakira</t>
  </si>
  <si>
    <t>Peters  Lauren</t>
  </si>
  <si>
    <t xml:space="preserve">Peterson  Ebonee  </t>
  </si>
  <si>
    <t xml:space="preserve">Petingill  Shana  </t>
  </si>
  <si>
    <t>Petrowsky  Thelma</t>
  </si>
  <si>
    <t>Pham  Hong</t>
  </si>
  <si>
    <t xml:space="preserve">Pitt  Brad </t>
  </si>
  <si>
    <t>Potts  Xana</t>
  </si>
  <si>
    <t>Power  Morissa</t>
  </si>
  <si>
    <t xml:space="preserve">Punjabhi  Louis  </t>
  </si>
  <si>
    <t>Purinton  Janine</t>
  </si>
  <si>
    <t>Quinn  Sean</t>
  </si>
  <si>
    <t>Rachael  Maggie</t>
  </si>
  <si>
    <t>Rarrick  Quinn</t>
  </si>
  <si>
    <t>Ren  Kylo</t>
  </si>
  <si>
    <t>Rhoads  Thomas</t>
  </si>
  <si>
    <t xml:space="preserve">Rivera  Haley  </t>
  </si>
  <si>
    <t>Roberson  May</t>
  </si>
  <si>
    <t>Robertson  Peter</t>
  </si>
  <si>
    <t xml:space="preserve">Robinson  Alain  </t>
  </si>
  <si>
    <t>Robinson  Cherly</t>
  </si>
  <si>
    <t>Robinson  Elias</t>
  </si>
  <si>
    <t xml:space="preserve">Roby  Lori </t>
  </si>
  <si>
    <t>Roehrich  Bianca</t>
  </si>
  <si>
    <t>Roper  Katie</t>
  </si>
  <si>
    <t xml:space="preserve">Rose  Ashley  </t>
  </si>
  <si>
    <t>Rossetti  Bruno</t>
  </si>
  <si>
    <t>Roup Simon</t>
  </si>
  <si>
    <t>Ruiz  Ricardo</t>
  </si>
  <si>
    <t>Saada  Adell</t>
  </si>
  <si>
    <t>Saar-Beckles  Melinda</t>
  </si>
  <si>
    <t xml:space="preserve">Sadki  Nore  </t>
  </si>
  <si>
    <t>Sahoo  Adil</t>
  </si>
  <si>
    <t>Salter  Jason</t>
  </si>
  <si>
    <t>Sander  Kamrin</t>
  </si>
  <si>
    <t>Sewkumar  Nori</t>
  </si>
  <si>
    <t xml:space="preserve">Shepard  Anita </t>
  </si>
  <si>
    <t>Shields  Seffi</t>
  </si>
  <si>
    <t>Simard  Kramer</t>
  </si>
  <si>
    <t xml:space="preserve">Singh  Nan </t>
  </si>
  <si>
    <t>Sloan  Constance</t>
  </si>
  <si>
    <t>Smith  Joe</t>
  </si>
  <si>
    <t>Smith  John</t>
  </si>
  <si>
    <t>Smith  Leigh Ann</t>
  </si>
  <si>
    <t>Smith  Sade</t>
  </si>
  <si>
    <t xml:space="preserve">Soto  Julia </t>
  </si>
  <si>
    <t>Soze  Keyser</t>
  </si>
  <si>
    <t xml:space="preserve">Sparks  Taylor  </t>
  </si>
  <si>
    <t>Spirea  Kelley</t>
  </si>
  <si>
    <t>Squatrito  Kristen</t>
  </si>
  <si>
    <t>Stanford Barbara  M</t>
  </si>
  <si>
    <t>Stansfield  Norman</t>
  </si>
  <si>
    <t xml:space="preserve">Steans  Tyrone  </t>
  </si>
  <si>
    <t>Stoica  Rick</t>
  </si>
  <si>
    <t>Strong  Caitrin</t>
  </si>
  <si>
    <t xml:space="preserve">Sullivan  Kissy </t>
  </si>
  <si>
    <t>Sullivan  Timothy</t>
  </si>
  <si>
    <t>Sutwell  Barbara</t>
  </si>
  <si>
    <t>Szabo  Andrew</t>
  </si>
  <si>
    <t>Tannen  Biff</t>
  </si>
  <si>
    <t xml:space="preserve">Tavares  Desiree  </t>
  </si>
  <si>
    <t xml:space="preserve">Tejeda  Lenora </t>
  </si>
  <si>
    <t xml:space="preserve">Terry  Sharlene </t>
  </si>
  <si>
    <t>Theamstern  Sophia</t>
  </si>
  <si>
    <t>Thibaud  Kenneth</t>
  </si>
  <si>
    <t>Tippett  Jeanette</t>
  </si>
  <si>
    <t>Torrence  Jack</t>
  </si>
  <si>
    <t>Trang  Mei</t>
  </si>
  <si>
    <t xml:space="preserve">Tredinnick  Neville </t>
  </si>
  <si>
    <t>True  Edward</t>
  </si>
  <si>
    <t>Trzeciak  Cybil</t>
  </si>
  <si>
    <t>Turpin  Jumil</t>
  </si>
  <si>
    <t>Valentin Jackie</t>
  </si>
  <si>
    <t xml:space="preserve">Veera  Abdellah </t>
  </si>
  <si>
    <t>Vega  Vincent</t>
  </si>
  <si>
    <t>Villanueva  Noah</t>
  </si>
  <si>
    <t>Voldemort  Lord</t>
  </si>
  <si>
    <t>Volk  Colleen</t>
  </si>
  <si>
    <t>Von Massenbach  Anna</t>
  </si>
  <si>
    <t>Walker  Roger</t>
  </si>
  <si>
    <t>Wallace  Courtney  E</t>
  </si>
  <si>
    <t>Wallace  Theresa</t>
  </si>
  <si>
    <t>Wang  Charlie</t>
  </si>
  <si>
    <t>Warfield  Sarah</t>
  </si>
  <si>
    <t>Whittier  Scott</t>
  </si>
  <si>
    <t>Wilber  Barry</t>
  </si>
  <si>
    <t>Wilkes  Annie</t>
  </si>
  <si>
    <t xml:space="preserve">Williams  Jacquelyn  </t>
  </si>
  <si>
    <t xml:space="preserve">Winthrop  Jordan  </t>
  </si>
  <si>
    <t>Wolk  Hang  T</t>
  </si>
  <si>
    <t>Woodson  Jason</t>
  </si>
  <si>
    <t xml:space="preserve">Ybarra  Catherine </t>
  </si>
  <si>
    <t>Zamora  Jennifer</t>
  </si>
  <si>
    <t>Zhou  Julia</t>
  </si>
  <si>
    <t>Zima  Colleen</t>
  </si>
  <si>
    <t>Age</t>
  </si>
  <si>
    <t>Anciennete</t>
  </si>
  <si>
    <t>Type_depart</t>
  </si>
  <si>
    <t>Trancge_Age</t>
  </si>
  <si>
    <t>Groupe_PERFORMANCE</t>
  </si>
  <si>
    <t>Risque_départ</t>
  </si>
  <si>
    <t>Étiquettes de lignes</t>
  </si>
  <si>
    <t>(vide)</t>
  </si>
  <si>
    <t>Total général</t>
  </si>
  <si>
    <t>Somme de Termd</t>
  </si>
  <si>
    <t>Somme de Termd2</t>
  </si>
  <si>
    <t>Moyenne de Salary</t>
  </si>
  <si>
    <t>Nombre de Recrutment</t>
  </si>
  <si>
    <t>Moyenne de Absences</t>
  </si>
  <si>
    <t>Corrélation</t>
  </si>
  <si>
    <t>Corrélation Satisfaction / Absences :</t>
  </si>
  <si>
    <t>Salaire moyen - Hommes :</t>
  </si>
  <si>
    <t>alaire moyen - Femmes :</t>
  </si>
  <si>
    <t>Écart absolu (€) :</t>
  </si>
  <si>
    <t>Écart relatif (%) :</t>
  </si>
  <si>
    <t>FAIBLE</t>
  </si>
  <si>
    <t>SURVEILLER</t>
  </si>
  <si>
    <t>Étiquettes de colonnes</t>
  </si>
  <si>
    <t>Nombre de Employee_Name</t>
  </si>
  <si>
    <t>DASHBOARD RH – ANALYSE DU TURNOVER ET DE LA PERFORMANCE</t>
  </si>
  <si>
    <t>Effectif total</t>
  </si>
  <si>
    <t>Taux de turnover :</t>
  </si>
  <si>
    <t>Salaire moyen :</t>
  </si>
  <si>
    <t>YEYEHOU ERIC</t>
  </si>
  <si>
    <t>Analyse RH - Turnover &amp;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</si>
</sst>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%"/>
    <numFmt numFmtId="169" formatCode="_-* #,##0.0\ &quot;€&quot;_-;\-* #,##0.0\ &quot;€&quot;_-;_-* &quot;-&quot;??\ &quot;€&quot;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0"/>
      <color theme="4" tint="0.59999389629810485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center"/>
    </xf>
    <xf numFmtId="168" fontId="19" fillId="0" borderId="0" xfId="1" applyNumberFormat="1" applyFont="1"/>
    <xf numFmtId="169" fontId="19" fillId="0" borderId="0" xfId="0" applyNumberFormat="1" applyFont="1"/>
    <xf numFmtId="0" fontId="20" fillId="0" borderId="0" xfId="0" applyFont="1"/>
    <xf numFmtId="14" fontId="20" fillId="0" borderId="0" xfId="0" applyNumberFormat="1" applyFont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/>
    <cellStyle name="Note" xfId="16" builtinId="1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32">
    <dxf>
      <font>
        <color rgb="FF9C0006"/>
      </font>
    </dxf>
    <dxf>
      <font>
        <color rgb="FF9C0006"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 patternType="solid">
          <fgColor auto="1"/>
          <bgColor theme="7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ont>
        <color rgb="FF9C0006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[Dashboard_RH_Projet_FINAL.xlsx]Feuil3!Tableau croisé dynamique1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Feuil3!$B$3</c:f>
              <c:strCache>
                <c:ptCount val="1"/>
                <c:pt idx="0">
                  <c:v>Somme de Termd2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AA-4E9B-B72E-B1DDCA82A8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AA-4E9B-B72E-B1DDCA82A8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AA-4E9B-B72E-B1DDCA82A8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AA-4E9B-B72E-B1DDCA82A8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FAA-4E9B-B72E-B1DDCA82A8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FAA-4E9B-B72E-B1DDCA82A8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FAA-4E9B-B72E-B1DDCA82A8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Feuil3!$A$4:$A$11</c:f>
              <c:strCache>
                <c:ptCount val="7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  <c:pt idx="6">
                  <c:v>(vide)</c:v>
                </c:pt>
              </c:strCache>
            </c:strRef>
          </c:cat>
          <c:val>
            <c:numRef>
              <c:f>Feuil3!$B$4:$B$11</c:f>
              <c:numCache>
                <c:formatCode>0.00%</c:formatCode>
                <c:ptCount val="7"/>
                <c:pt idx="0">
                  <c:v>1.9230769230769232E-2</c:v>
                </c:pt>
                <c:pt idx="1">
                  <c:v>0</c:v>
                </c:pt>
                <c:pt idx="2">
                  <c:v>9.6153846153846159E-2</c:v>
                </c:pt>
                <c:pt idx="3">
                  <c:v>0.79807692307692313</c:v>
                </c:pt>
                <c:pt idx="4">
                  <c:v>4.807692307692308E-2</c:v>
                </c:pt>
                <c:pt idx="5">
                  <c:v>3.8461538461538464E-2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FAA-4E9B-B72E-B1DDCA82A8D7}"/>
            </c:ext>
          </c:extLst>
        </c:ser>
        <c:ser>
          <c:idx val="1"/>
          <c:order val="1"/>
          <c:tx>
            <c:strRef>
              <c:f>Feuil3!$C$3</c:f>
              <c:strCache>
                <c:ptCount val="1"/>
                <c:pt idx="0">
                  <c:v>Somme de Termd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AFAA-4E9B-B72E-B1DDCA82A8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AFAA-4E9B-B72E-B1DDCA82A8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AFAA-4E9B-B72E-B1DDCA82A8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AFAA-4E9B-B72E-B1DDCA82A8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AFAA-4E9B-B72E-B1DDCA82A8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AFAA-4E9B-B72E-B1DDCA82A8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AFAA-4E9B-B72E-B1DDCA82A8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Feuil3!$A$4:$A$11</c:f>
              <c:strCache>
                <c:ptCount val="7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  <c:pt idx="6">
                  <c:v>(vide)</c:v>
                </c:pt>
              </c:strCache>
            </c:strRef>
          </c:cat>
          <c:val>
            <c:numRef>
              <c:f>Feuil3!$C$4:$C$11</c:f>
              <c:numCache>
                <c:formatCode>General</c:formatCode>
                <c:ptCount val="7"/>
                <c:pt idx="0">
                  <c:v>2</c:v>
                </c:pt>
                <c:pt idx="1">
                  <c:v>0</c:v>
                </c:pt>
                <c:pt idx="2">
                  <c:v>10</c:v>
                </c:pt>
                <c:pt idx="3">
                  <c:v>83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FAA-4E9B-B72E-B1DDCA82A8D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[Dashboard_RH_Projet_FINAL.xlsx]Feuil6!Tableau croisé dynamique4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Absentéisme par performance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Feuil6!$A$4:$A$9</c:f>
              <c:strCache>
                <c:ptCount val="5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  <c:pt idx="4">
                  <c:v>(vide)</c:v>
                </c:pt>
              </c:strCache>
            </c:strRef>
          </c:cat>
          <c:val>
            <c:numRef>
              <c:f>Feuil6!$B$4:$B$9</c:f>
              <c:numCache>
                <c:formatCode>General</c:formatCode>
                <c:ptCount val="5"/>
                <c:pt idx="0">
                  <c:v>10.486486486486486</c:v>
                </c:pt>
                <c:pt idx="1">
                  <c:v>10.242798353909466</c:v>
                </c:pt>
                <c:pt idx="2">
                  <c:v>11.333333333333334</c:v>
                </c:pt>
                <c:pt idx="3">
                  <c:v>7.9230769230769234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8-4AD3-8A2C-FB5ECFFD1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115167"/>
        <c:axId val="439115647"/>
      </c:barChart>
      <c:catAx>
        <c:axId val="43911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9115647"/>
        <c:crosses val="autoZero"/>
        <c:auto val="1"/>
        <c:lblAlgn val="ctr"/>
        <c:lblOffset val="100"/>
        <c:noMultiLvlLbl val="0"/>
      </c:catAx>
      <c:valAx>
        <c:axId val="43911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911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[Dashboard_RH_Projet_FINAL.xlsx]Feuil5!Tableau croisé dynamique3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u="none" strike="noStrike" baseline="0"/>
              <a:t>Turnover par département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Feuil5!$B$3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Feuil5!$A$4:$A$14</c:f>
              <c:strCache>
                <c:ptCount val="10"/>
                <c:pt idx="0">
                  <c:v>CareerBuilder</c:v>
                </c:pt>
                <c:pt idx="1">
                  <c:v>Diversity Job Fair</c:v>
                </c:pt>
                <c:pt idx="2">
                  <c:v>Employee Referral</c:v>
                </c:pt>
                <c:pt idx="3">
                  <c:v>Google Search</c:v>
                </c:pt>
                <c:pt idx="4">
                  <c:v>Indeed</c:v>
                </c:pt>
                <c:pt idx="5">
                  <c:v>LinkedIn</c:v>
                </c:pt>
                <c:pt idx="6">
                  <c:v>On-line Web application</c:v>
                </c:pt>
                <c:pt idx="7">
                  <c:v>Other</c:v>
                </c:pt>
                <c:pt idx="8">
                  <c:v>Website</c:v>
                </c:pt>
                <c:pt idx="9">
                  <c:v>(vide)</c:v>
                </c:pt>
              </c:strCache>
            </c:strRef>
          </c:cat>
          <c:val>
            <c:numRef>
              <c:f>Feuil5!$B$4:$B$14</c:f>
              <c:numCache>
                <c:formatCode>General</c:formatCode>
                <c:ptCount val="10"/>
                <c:pt idx="0">
                  <c:v>23</c:v>
                </c:pt>
                <c:pt idx="1">
                  <c:v>29</c:v>
                </c:pt>
                <c:pt idx="2">
                  <c:v>31</c:v>
                </c:pt>
                <c:pt idx="3">
                  <c:v>49</c:v>
                </c:pt>
                <c:pt idx="4">
                  <c:v>87</c:v>
                </c:pt>
                <c:pt idx="5">
                  <c:v>76</c:v>
                </c:pt>
                <c:pt idx="6">
                  <c:v>1</c:v>
                </c:pt>
                <c:pt idx="7">
                  <c:v>2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6-4670-9995-14929D8AD0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66803023"/>
        <c:axId val="466807823"/>
      </c:barChart>
      <c:catAx>
        <c:axId val="46680302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6807823"/>
        <c:crosses val="autoZero"/>
        <c:auto val="1"/>
        <c:lblAlgn val="ctr"/>
        <c:lblOffset val="100"/>
        <c:noMultiLvlLbl val="0"/>
      </c:catAx>
      <c:valAx>
        <c:axId val="4668078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crossAx val="4668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[Dashboard_RH_Projet_FINAL.xlsx]Feuil4!Tableau croisé dynamique2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Salaire moyen par performance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Feuil4!$A$4:$A$9</c:f>
              <c:strCache>
                <c:ptCount val="5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  <c:pt idx="4">
                  <c:v>(vide)</c:v>
                </c:pt>
              </c:strCache>
            </c:strRef>
          </c:cat>
          <c:val>
            <c:numRef>
              <c:f>Feuil4!$B$4:$B$9</c:f>
              <c:numCache>
                <c:formatCode>General</c:formatCode>
                <c:ptCount val="5"/>
                <c:pt idx="0">
                  <c:v>77144.864864864867</c:v>
                </c:pt>
                <c:pt idx="1">
                  <c:v>68421.024691358019</c:v>
                </c:pt>
                <c:pt idx="2">
                  <c:v>68407.555555555562</c:v>
                </c:pt>
                <c:pt idx="3">
                  <c:v>57956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C-46FB-ACC4-7A7D5E9367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2539983"/>
        <c:axId val="162541903"/>
      </c:barChart>
      <c:catAx>
        <c:axId val="16253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541903"/>
        <c:crosses val="autoZero"/>
        <c:auto val="1"/>
        <c:lblAlgn val="ctr"/>
        <c:lblOffset val="100"/>
        <c:noMultiLvlLbl val="0"/>
      </c:catAx>
      <c:valAx>
        <c:axId val="1625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53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11</xdr:col>
      <xdr:colOff>514350</xdr:colOff>
      <xdr:row>19</xdr:row>
      <xdr:rowOff>6350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246B319-74D3-4DCC-AB0D-E0AB114E9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26</xdr:row>
      <xdr:rowOff>19050</xdr:rowOff>
    </xdr:from>
    <xdr:to>
      <xdr:col>13</xdr:col>
      <xdr:colOff>0</xdr:colOff>
      <xdr:row>38</xdr:row>
      <xdr:rowOff>107950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70E746C-3054-4413-BD17-0E7559B23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5</xdr:col>
      <xdr:colOff>63500</xdr:colOff>
      <xdr:row>21</xdr:row>
      <xdr:rowOff>165100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F8CEC17-4047-4BC2-AA92-E1B67102F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736600</xdr:colOff>
      <xdr:row>6</xdr:row>
      <xdr:rowOff>152400</xdr:rowOff>
    </xdr:from>
    <xdr:to>
      <xdr:col>12</xdr:col>
      <xdr:colOff>596900</xdr:colOff>
      <xdr:row>22</xdr:row>
      <xdr:rowOff>12700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E618567-1544-445E-8ADE-8E3F8BB78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6.91757766204" createdVersion="8" refreshedVersion="8" minRefreshableVersion="3" recordCount="312" xr:uid="{34AD2ABE-0267-4440-8863-FC32E309A287}">
  <cacheSource type="worksheet">
    <worksheetSource ref="A1:AP1048576" sheet="Feuil1"/>
  </cacheSource>
  <cacheFields count="42">
    <cacheField name="Employee_Name" numFmtId="0">
      <sharedItems containsBlank="1"/>
    </cacheField>
    <cacheField name="EmpID" numFmtId="0">
      <sharedItems containsString="0" containsBlank="1" containsNumber="1" containsInteger="1" minValue="10001" maxValue="10311"/>
    </cacheField>
    <cacheField name="MarriedID" numFmtId="0">
      <sharedItems containsString="0" containsBlank="1" containsNumber="1" containsInteger="1" minValue="0" maxValue="1"/>
    </cacheField>
    <cacheField name="MaritalStatuID" numFmtId="0">
      <sharedItems containsString="0" containsBlank="1" containsNumber="1" containsInteger="1" minValue="0" maxValue="4"/>
    </cacheField>
    <cacheField name="GenderIS" numFmtId="0">
      <sharedItems containsString="0" containsBlank="1" containsNumber="1" containsInteger="1" minValue="0" maxValue="1"/>
    </cacheField>
    <cacheField name="EmpstatutID" numFmtId="0">
      <sharedItems containsString="0" containsBlank="1" containsNumber="1" containsInteger="1" minValue="1" maxValue="5"/>
    </cacheField>
    <cacheField name="DeptID" numFmtId="0">
      <sharedItems containsString="0" containsBlank="1" containsNumber="1" containsInteger="1" minValue="1" maxValue="6"/>
    </cacheField>
    <cacheField name="PerfScoreID" numFmtId="0">
      <sharedItems containsString="0" containsBlank="1" containsNumber="1" containsInteger="1" minValue="1" maxValue="4"/>
    </cacheField>
    <cacheField name="FromDiver" numFmtId="0">
      <sharedItems containsString="0" containsBlank="1" containsNumber="1" containsInteger="1" minValue="0" maxValue="1"/>
    </cacheField>
    <cacheField name="Salary" numFmtId="0">
      <sharedItems containsString="0" containsBlank="1" containsNumber="1" containsInteger="1" minValue="45046" maxValue="250000"/>
    </cacheField>
    <cacheField name="Termd" numFmtId="0">
      <sharedItems containsString="0" containsBlank="1" containsNumber="1" containsInteger="1" minValue="0" maxValue="1"/>
    </cacheField>
    <cacheField name="PositionID" numFmtId="0">
      <sharedItems containsString="0" containsBlank="1" containsNumber="1" containsInteger="1" minValue="1" maxValue="30"/>
    </cacheField>
    <cacheField name="Psition" numFmtId="0">
      <sharedItems containsBlank="1"/>
    </cacheField>
    <cacheField name="State" numFmtId="0">
      <sharedItems containsBlank="1"/>
    </cacheField>
    <cacheField name="Zip" numFmtId="0">
      <sharedItems containsString="0" containsBlank="1" containsNumber="1" containsInteger="1" minValue="1013" maxValue="98052"/>
    </cacheField>
    <cacheField name="DOB" numFmtId="0">
      <sharedItems containsNonDate="0" containsDate="1" containsString="0" containsBlank="1" minDate="1951-02-01T00:00:00" maxDate="1992-08-18T00:00:00"/>
    </cacheField>
    <cacheField name="Sex" numFmtId="0">
      <sharedItems containsBlank="1"/>
    </cacheField>
    <cacheField name="MaritalDESC" numFmtId="0">
      <sharedItems containsBlank="1"/>
    </cacheField>
    <cacheField name="Citizedesc" numFmtId="0">
      <sharedItems containsBlank="1"/>
    </cacheField>
    <cacheField name="HispanicLatin" numFmtId="0">
      <sharedItems containsBlank="1"/>
    </cacheField>
    <cacheField name="Racedesc" numFmtId="0">
      <sharedItems containsBlank="1" count="7">
        <s v="White"/>
        <s v="Black or African American"/>
        <s v="Two or more races"/>
        <s v="Asian"/>
        <s v="American Indian or Alaska Native"/>
        <s v="Hispanic"/>
        <m/>
      </sharedItems>
    </cacheField>
    <cacheField name="Dateofhire" numFmtId="0">
      <sharedItems containsNonDate="0" containsDate="1" containsString="0" containsBlank="1" minDate="2006-09-01T00:00:00" maxDate="2018-09-08T00:00:00"/>
    </cacheField>
    <cacheField name="Dateoftermi" numFmtId="0">
      <sharedItems containsNonDate="0" containsDate="1" containsString="0" containsBlank="1" minDate="2010-08-30T00:00:00" maxDate="2018-10-12T00:00:00"/>
    </cacheField>
    <cacheField name="Termreason" numFmtId="0">
      <sharedItems containsBlank="1"/>
    </cacheField>
    <cacheField name="Employement" numFmtId="0">
      <sharedItems containsBlank="1"/>
    </cacheField>
    <cacheField name="Department" numFmtId="0">
      <sharedItems containsBlank="1" count="7">
        <s v="Production       "/>
        <s v="IT/IS"/>
        <s v="Software Engineering"/>
        <s v="Admin Offices"/>
        <s v="Sales"/>
        <s v="Executive Office"/>
        <m/>
      </sharedItems>
    </cacheField>
    <cacheField name="Managernat" numFmtId="0">
      <sharedItems containsBlank="1"/>
    </cacheField>
    <cacheField name="ManagerID" numFmtId="0">
      <sharedItems containsString="0" containsBlank="1" containsNumber="1" containsInteger="1" minValue="1" maxValue="39"/>
    </cacheField>
    <cacheField name="Recrutment" numFmtId="0">
      <sharedItems containsBlank="1" count="10">
        <s v="LinkedIn"/>
        <s v="Indeed"/>
        <s v="Google Search"/>
        <s v="Employee Referral"/>
        <s v="Diversity Job Fair"/>
        <s v="On-line Web application"/>
        <s v="CareerBuilder"/>
        <s v="Website"/>
        <s v="Other"/>
        <m/>
      </sharedItems>
    </cacheField>
    <cacheField name="Performance" numFmtId="0">
      <sharedItems containsBlank="1"/>
    </cacheField>
    <cacheField name="Engagement" numFmtId="0">
      <sharedItems containsBlank="1"/>
    </cacheField>
    <cacheField name="EmploySatisfy" numFmtId="0">
      <sharedItems containsString="0" containsBlank="1" containsNumber="1" containsInteger="1" minValue="1" maxValue="5"/>
    </cacheField>
    <cacheField name="SpecialProjet" numFmtId="0">
      <sharedItems containsString="0" containsBlank="1" containsNumber="1" containsInteger="1" minValue="0" maxValue="8"/>
    </cacheField>
    <cacheField name="LastPERF" numFmtId="0">
      <sharedItems containsBlank="1" containsMixedTypes="1" containsNumber="1" containsInteger="1" minValue="40638" maxValue="43801"/>
    </cacheField>
    <cacheField name="DayLatel" numFmtId="0">
      <sharedItems containsString="0" containsBlank="1" containsNumber="1" containsInteger="1" minValue="0" maxValue="6"/>
    </cacheField>
    <cacheField name="Absences" numFmtId="0">
      <sharedItems containsString="0" containsBlank="1" containsNumber="1" containsInteger="1" minValue="1" maxValue="20"/>
    </cacheField>
    <cacheField name="Age" numFmtId="0">
      <sharedItems containsString="0" containsBlank="1" containsNumber="1" containsInteger="1" minValue="33" maxValue="75"/>
    </cacheField>
    <cacheField name="Anciennete" numFmtId="0">
      <sharedItems containsString="0" containsBlank="1" containsNumber="1" containsInteger="1" minValue="0" maxValue="19"/>
    </cacheField>
    <cacheField name="Type_depart" numFmtId="0">
      <sharedItems containsBlank="1"/>
    </cacheField>
    <cacheField name="Trancge_Age" numFmtId="0">
      <sharedItems containsBlank="1"/>
    </cacheField>
    <cacheField name="Groupe_PERFORMANCE" numFmtId="0">
      <sharedItems containsBlank="1" count="5">
        <s v="Exceeds"/>
        <s v="Fully Meets"/>
        <s v="Needs Improvement"/>
        <s v="PIP"/>
        <m/>
      </sharedItems>
    </cacheField>
    <cacheField name="Risque_départ" numFmtId="0">
      <sharedItems containsBlank="1" count="3">
        <s v="FAIBLE"/>
        <s v="SURVEILL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">
  <r>
    <s v="Adinolfi  Wilson  K"/>
    <n v="10026"/>
    <n v="0"/>
    <n v="0"/>
    <n v="1"/>
    <n v="1"/>
    <n v="5"/>
    <n v="4"/>
    <n v="0"/>
    <n v="62506"/>
    <n v="0"/>
    <n v="19"/>
    <s v="Production Technician I"/>
    <s v="MA"/>
    <n v="1960"/>
    <d v="1983-10-07T00:00:00"/>
    <s v="M "/>
    <s v="Single"/>
    <s v="US Citizen"/>
    <s v="No"/>
    <x v="0"/>
    <d v="2011-05-07T00:00:00"/>
    <m/>
    <s v="N/A-StillEmployed"/>
    <s v="Active"/>
    <x v="0"/>
    <s v="Michael Albert"/>
    <n v="22"/>
    <x v="0"/>
    <s v="Exceeds"/>
    <s v="4.60"/>
    <n v="5"/>
    <n v="0"/>
    <s v="1/17/2019"/>
    <n v="0"/>
    <n v="1"/>
    <n v="42"/>
    <n v="14"/>
    <s v="Actif"/>
    <s v="30-44 ans"/>
    <x v="0"/>
    <x v="0"/>
  </r>
  <r>
    <s v="Ait Sidi  Karthikeyan   "/>
    <n v="10084"/>
    <n v="1"/>
    <n v="1"/>
    <n v="1"/>
    <n v="5"/>
    <n v="3"/>
    <n v="3"/>
    <n v="0"/>
    <n v="104437"/>
    <n v="1"/>
    <n v="27"/>
    <s v="Sr. DBA"/>
    <s v="MA"/>
    <n v="2148"/>
    <d v="1975-05-05T00:00:00"/>
    <s v="M "/>
    <s v="Married"/>
    <s v="US Citizen"/>
    <s v="No"/>
    <x v="0"/>
    <d v="2015-03-30T00:00:00"/>
    <d v="2016-06-16T00:00:00"/>
    <s v="career change"/>
    <s v="Voluntarily Terminated"/>
    <x v="1"/>
    <s v="Simon Roup"/>
    <n v="4"/>
    <x v="1"/>
    <s v="Fully Meets"/>
    <s v="4.96"/>
    <n v="3"/>
    <n v="6"/>
    <s v="2/24/2016"/>
    <n v="0"/>
    <n v="17"/>
    <n v="42"/>
    <n v="1"/>
    <s v="Volontaire"/>
    <s v="30-44 ans"/>
    <x v="1"/>
    <x v="1"/>
  </r>
  <r>
    <s v="Akinkuolie  Sarah"/>
    <n v="10196"/>
    <n v="1"/>
    <n v="1"/>
    <n v="0"/>
    <n v="5"/>
    <n v="5"/>
    <n v="3"/>
    <n v="0"/>
    <n v="64955"/>
    <n v="1"/>
    <n v="20"/>
    <s v="Production Technician II"/>
    <s v="MA"/>
    <n v="1810"/>
    <d v="1988-09-19T00:00:00"/>
    <s v="F"/>
    <s v="Married"/>
    <s v="US Citizen"/>
    <s v="No"/>
    <x v="0"/>
    <d v="2011-05-07T00:00:00"/>
    <d v="2012-09-24T00:00:00"/>
    <s v="hours"/>
    <s v="Voluntarily Terminated"/>
    <x v="0"/>
    <s v="Kissy Sullivan"/>
    <n v="20"/>
    <x v="0"/>
    <s v="Fully Meets"/>
    <s v="3.02"/>
    <n v="3"/>
    <n v="0"/>
    <s v="5/15/2012"/>
    <n v="0"/>
    <n v="3"/>
    <n v="37"/>
    <n v="1"/>
    <s v="Involontaire"/>
    <s v="30-44 ans"/>
    <x v="1"/>
    <x v="0"/>
  </r>
  <r>
    <s v="Alagbe Trina"/>
    <n v="10088"/>
    <n v="1"/>
    <n v="1"/>
    <n v="0"/>
    <n v="1"/>
    <n v="5"/>
    <n v="3"/>
    <n v="0"/>
    <n v="64991"/>
    <n v="0"/>
    <n v="19"/>
    <s v="Production Technician I"/>
    <s v="MA"/>
    <n v="1886"/>
    <d v="1988-09-27T00:00:00"/>
    <s v="F"/>
    <s v="Married"/>
    <s v="US Citizen"/>
    <s v="No"/>
    <x v="0"/>
    <d v="2008-07-01T00:00:00"/>
    <m/>
    <s v="N/A-StillEmployed"/>
    <s v="Active"/>
    <x v="0"/>
    <s v="Elijiah Gray"/>
    <n v="16"/>
    <x v="1"/>
    <s v="Fully Meets"/>
    <s v="4.84"/>
    <n v="5"/>
    <n v="0"/>
    <n v="43525"/>
    <n v="0"/>
    <n v="15"/>
    <n v="37"/>
    <n v="17"/>
    <s v="Actif"/>
    <s v="30-44 ans"/>
    <x v="1"/>
    <x v="1"/>
  </r>
  <r>
    <s v="Anderson  Carol "/>
    <n v="10069"/>
    <n v="0"/>
    <n v="2"/>
    <n v="0"/>
    <n v="5"/>
    <n v="5"/>
    <n v="3"/>
    <n v="0"/>
    <n v="50825"/>
    <n v="1"/>
    <n v="19"/>
    <s v="Production Technician I"/>
    <s v="MA"/>
    <n v="2169"/>
    <d v="1989-08-09T00:00:00"/>
    <s v="F"/>
    <s v="Divorced"/>
    <s v="US Citizen"/>
    <s v="No"/>
    <x v="0"/>
    <d v="2011-11-07T00:00:00"/>
    <d v="2016-06-09T00:00:00"/>
    <s v="return to school"/>
    <s v="Voluntarily Terminated"/>
    <x v="0"/>
    <s v="Webster Butler"/>
    <n v="39"/>
    <x v="2"/>
    <s v="Fully Meets"/>
    <s v="5.00"/>
    <n v="4"/>
    <n v="0"/>
    <n v="42371"/>
    <n v="0"/>
    <n v="2"/>
    <n v="36"/>
    <n v="4"/>
    <s v="Volontaire"/>
    <s v="30-44 ans"/>
    <x v="1"/>
    <x v="0"/>
  </r>
  <r>
    <s v="Anderson  Linda  "/>
    <n v="10002"/>
    <n v="0"/>
    <n v="0"/>
    <n v="0"/>
    <n v="1"/>
    <n v="5"/>
    <n v="4"/>
    <n v="0"/>
    <n v="57568"/>
    <n v="0"/>
    <n v="19"/>
    <s v="Production Technician I"/>
    <s v="MA"/>
    <n v="1844"/>
    <d v="1977-05-22T00:00:00"/>
    <s v="F"/>
    <s v="Single"/>
    <s v="US Citizen"/>
    <s v="No"/>
    <x v="0"/>
    <d v="2012-09-01T00:00:00"/>
    <m/>
    <s v="N/A-StillEmployed"/>
    <s v="Active"/>
    <x v="0"/>
    <s v="Amy Dunn"/>
    <n v="11"/>
    <x v="0"/>
    <s v="Exceeds"/>
    <s v="5.00"/>
    <n v="5"/>
    <n v="0"/>
    <n v="43647"/>
    <n v="0"/>
    <n v="15"/>
    <n v="48"/>
    <n v="13"/>
    <s v="Actif"/>
    <s v="45-59 ans"/>
    <x v="0"/>
    <x v="1"/>
  </r>
  <r>
    <s v="Andreola  Colby"/>
    <n v="10194"/>
    <n v="0"/>
    <n v="0"/>
    <n v="0"/>
    <n v="1"/>
    <n v="4"/>
    <n v="3"/>
    <n v="0"/>
    <n v="95660"/>
    <n v="0"/>
    <n v="24"/>
    <s v="Software Engineer"/>
    <s v="MA"/>
    <n v="2110"/>
    <d v="1979-05-24T00:00:00"/>
    <s v="F"/>
    <s v="Single"/>
    <s v="US Citizen"/>
    <s v="No"/>
    <x v="0"/>
    <d v="2014-10-11T00:00:00"/>
    <m/>
    <s v="N/A-StillEmployed"/>
    <s v="Active"/>
    <x v="2"/>
    <s v="Alex Sweetwater"/>
    <n v="10"/>
    <x v="0"/>
    <s v="Fully Meets"/>
    <s v="3.04"/>
    <n v="3"/>
    <n v="4"/>
    <n v="43497"/>
    <n v="0"/>
    <n v="19"/>
    <n v="46"/>
    <n v="11"/>
    <s v="Actif"/>
    <s v="45-59 ans"/>
    <x v="1"/>
    <x v="1"/>
  </r>
  <r>
    <s v="Athwal  Sam"/>
    <n v="10062"/>
    <n v="0"/>
    <n v="4"/>
    <n v="1"/>
    <n v="1"/>
    <n v="5"/>
    <n v="3"/>
    <n v="0"/>
    <n v="59365"/>
    <n v="0"/>
    <n v="19"/>
    <s v="Production Technician I"/>
    <s v="MA"/>
    <n v="2199"/>
    <d v="1983-02-18T00:00:00"/>
    <s v="M "/>
    <s v="Widowed"/>
    <s v="US Citizen"/>
    <s v="No"/>
    <x v="0"/>
    <d v="2013-09-30T00:00:00"/>
    <m/>
    <s v="N/A-StillEmployed"/>
    <s v="Active"/>
    <x v="0"/>
    <s v="Ketsia Liebig"/>
    <n v="19"/>
    <x v="3"/>
    <s v="Fully Meets"/>
    <s v="5.00"/>
    <n v="4"/>
    <n v="0"/>
    <s v="2/25/2019"/>
    <n v="0"/>
    <n v="19"/>
    <n v="43"/>
    <n v="12"/>
    <s v="Actif"/>
    <s v="30-44 ans"/>
    <x v="1"/>
    <x v="1"/>
  </r>
  <r>
    <s v="Bachiochi  Linda"/>
    <n v="10114"/>
    <n v="0"/>
    <n v="0"/>
    <n v="0"/>
    <n v="3"/>
    <n v="5"/>
    <n v="3"/>
    <n v="1"/>
    <n v="47837"/>
    <n v="0"/>
    <n v="19"/>
    <s v="Production Technician I"/>
    <s v="MA"/>
    <n v="1902"/>
    <d v="1970-11-02T00:00:00"/>
    <s v="F"/>
    <s v="Single"/>
    <s v="US Citizen"/>
    <s v="No"/>
    <x v="1"/>
    <d v="2009-06-07T00:00:00"/>
    <m/>
    <s v="N/A-StillEmployed"/>
    <s v="Active"/>
    <x v="0"/>
    <s v="Brannon Miller"/>
    <n v="12"/>
    <x v="4"/>
    <s v="Fully Meets"/>
    <s v="4.46"/>
    <n v="3"/>
    <n v="0"/>
    <s v="1/25/2019"/>
    <n v="0"/>
    <n v="4"/>
    <n v="55"/>
    <n v="16"/>
    <s v="Actif"/>
    <s v="45-59 ans"/>
    <x v="1"/>
    <x v="0"/>
  </r>
  <r>
    <s v="Bacong  Alejandro "/>
    <n v="10250"/>
    <n v="0"/>
    <n v="2"/>
    <n v="1"/>
    <n v="1"/>
    <n v="3"/>
    <n v="3"/>
    <n v="0"/>
    <n v="50178"/>
    <n v="0"/>
    <n v="14"/>
    <s v="IT Support"/>
    <s v="MA"/>
    <n v="1886"/>
    <d v="1988-07-01T00:00:00"/>
    <s v="M "/>
    <s v="Divorced"/>
    <s v="US Citizen"/>
    <s v="No"/>
    <x v="0"/>
    <d v="2015-05-01T00:00:00"/>
    <m/>
    <s v="N/A-StillEmployed"/>
    <s v="Active"/>
    <x v="1"/>
    <s v="Peter Monroe"/>
    <n v="7"/>
    <x v="1"/>
    <s v="Fully Meets"/>
    <s v="5.00"/>
    <n v="5"/>
    <n v="6"/>
    <s v="2/18/2019"/>
    <n v="0"/>
    <n v="16"/>
    <n v="37"/>
    <n v="10"/>
    <s v="Actif"/>
    <s v="30-44 ans"/>
    <x v="1"/>
    <x v="1"/>
  </r>
  <r>
    <s v="Baczenski  Rachael  "/>
    <n v="10252"/>
    <n v="1"/>
    <n v="1"/>
    <n v="0"/>
    <n v="5"/>
    <n v="5"/>
    <n v="3"/>
    <n v="1"/>
    <n v="54670"/>
    <n v="1"/>
    <n v="19"/>
    <s v="Production Technician I"/>
    <s v="MA"/>
    <n v="1902"/>
    <d v="1974-12-01T00:00:00"/>
    <s v="F"/>
    <s v="Married"/>
    <s v="US Citizen"/>
    <s v="Yes"/>
    <x v="1"/>
    <d v="2011-10-01T00:00:00"/>
    <d v="2017-12-01T00:00:00"/>
    <s v="Another position"/>
    <s v="Voluntarily Terminated"/>
    <x v="0"/>
    <s v="David Stanley"/>
    <n v="14"/>
    <x v="4"/>
    <s v="Fully Meets"/>
    <s v="4.20"/>
    <n v="4"/>
    <n v="0"/>
    <s v="1/30/2016"/>
    <n v="0"/>
    <n v="12"/>
    <n v="51"/>
    <n v="6"/>
    <s v="Volontaire"/>
    <s v="45-59 ans"/>
    <x v="1"/>
    <x v="1"/>
  </r>
  <r>
    <s v="Barbara  Thomas"/>
    <n v="10242"/>
    <n v="1"/>
    <n v="1"/>
    <n v="1"/>
    <n v="5"/>
    <n v="5"/>
    <n v="3"/>
    <n v="1"/>
    <n v="47211"/>
    <n v="1"/>
    <n v="19"/>
    <s v="Production Technician I"/>
    <s v="MA"/>
    <n v="2062"/>
    <d v="1974-02-21T00:00:00"/>
    <s v="M "/>
    <s v="Married"/>
    <s v="US Citizen"/>
    <s v="Yes"/>
    <x v="1"/>
    <d v="2012-02-04T00:00:00"/>
    <d v="2016-09-19T00:00:00"/>
    <s v="unhappy"/>
    <s v="Voluntarily Terminated"/>
    <x v="0"/>
    <s v="Kissy Sullivan"/>
    <n v="20"/>
    <x v="4"/>
    <s v="Fully Meets"/>
    <s v="4.20"/>
    <n v="3"/>
    <n v="0"/>
    <n v="42526"/>
    <n v="0"/>
    <n v="15"/>
    <n v="52"/>
    <n v="4"/>
    <s v="Volontaire"/>
    <s v="45-59 ans"/>
    <x v="1"/>
    <x v="1"/>
  </r>
  <r>
    <s v="Barbossa  Hector"/>
    <n v="10012"/>
    <n v="0"/>
    <n v="2"/>
    <n v="1"/>
    <n v="1"/>
    <n v="3"/>
    <n v="4"/>
    <n v="1"/>
    <n v="92328"/>
    <n v="0"/>
    <n v="9"/>
    <s v="Data Analyst"/>
    <s v="TX"/>
    <n v="78230"/>
    <d v="1988-04-07T00:00:00"/>
    <s v="M "/>
    <s v="Divorced"/>
    <s v="US Citizen"/>
    <s v="No"/>
    <x v="1"/>
    <d v="2014-10-11T00:00:00"/>
    <m/>
    <s v="N/A-StillEmployed"/>
    <s v="Active"/>
    <x v="1"/>
    <s v="Simon Roup"/>
    <n v="4"/>
    <x v="4"/>
    <s v="Exceeds"/>
    <s v="4.28"/>
    <n v="4"/>
    <n v="5"/>
    <s v="2/25/2019"/>
    <n v="0"/>
    <n v="9"/>
    <n v="37"/>
    <n v="11"/>
    <s v="Actif"/>
    <s v="30-44 ans"/>
    <x v="0"/>
    <x v="0"/>
  </r>
  <r>
    <s v="Barone  Francesco  A"/>
    <n v="10265"/>
    <n v="0"/>
    <n v="0"/>
    <n v="1"/>
    <n v="1"/>
    <n v="5"/>
    <n v="3"/>
    <n v="0"/>
    <n v="58709"/>
    <n v="0"/>
    <n v="19"/>
    <s v="Production Technician I"/>
    <s v="MA"/>
    <n v="1810"/>
    <d v="1983-07-20T00:00:00"/>
    <s v="M "/>
    <s v="Single"/>
    <s v="US Citizen"/>
    <s v="No"/>
    <x v="2"/>
    <d v="2012-02-20T00:00:00"/>
    <m/>
    <s v="N/A-StillEmployed"/>
    <s v="Active"/>
    <x v="0"/>
    <s v="Kelley Spirea"/>
    <n v="18"/>
    <x v="2"/>
    <s v="Fully Meets"/>
    <s v="4.60"/>
    <n v="4"/>
    <n v="0"/>
    <s v="2/14/2019"/>
    <n v="0"/>
    <n v="7"/>
    <n v="42"/>
    <n v="14"/>
    <s v="Actif"/>
    <s v="30-44 ans"/>
    <x v="1"/>
    <x v="0"/>
  </r>
  <r>
    <s v="Barton  Nader"/>
    <n v="10066"/>
    <n v="0"/>
    <n v="2"/>
    <n v="1"/>
    <n v="5"/>
    <n v="5"/>
    <n v="3"/>
    <n v="0"/>
    <n v="52505"/>
    <n v="1"/>
    <n v="19"/>
    <s v="Production Technician I"/>
    <s v="MA"/>
    <n v="2747"/>
    <d v="1977-07-15T00:00:00"/>
    <s v="M "/>
    <s v="Divorced"/>
    <s v="US Citizen"/>
    <s v="No"/>
    <x v="0"/>
    <d v="2012-09-24T00:00:00"/>
    <d v="2017-06-04T00:00:00"/>
    <s v="Another position"/>
    <s v="Voluntarily Terminated"/>
    <x v="0"/>
    <s v="Michael Albert"/>
    <n v="22"/>
    <x v="5"/>
    <s v="Fully Meets"/>
    <s v="5.00"/>
    <n v="5"/>
    <n v="0"/>
    <n v="42769"/>
    <n v="0"/>
    <n v="1"/>
    <n v="48"/>
    <n v="4"/>
    <s v="Volontaire"/>
    <s v="45-59 ans"/>
    <x v="1"/>
    <x v="0"/>
  </r>
  <r>
    <s v="Bates  Norman"/>
    <n v="10061"/>
    <n v="0"/>
    <n v="0"/>
    <n v="1"/>
    <n v="4"/>
    <n v="5"/>
    <n v="3"/>
    <n v="0"/>
    <n v="57834"/>
    <n v="1"/>
    <n v="19"/>
    <s v="Production Technician I"/>
    <s v="MA"/>
    <n v="2050"/>
    <d v="1981-10-18T00:00:00"/>
    <s v="M "/>
    <s v="Single"/>
    <s v="US Citizen"/>
    <s v="No"/>
    <x v="0"/>
    <d v="2011-02-21T00:00:00"/>
    <d v="2017-04-08T00:00:00"/>
    <s v="attendance"/>
    <s v="Terminated for Cause"/>
    <x v="0"/>
    <s v="Kelley Spirea"/>
    <n v="18"/>
    <x v="2"/>
    <s v="Fully Meets"/>
    <s v="5.00"/>
    <n v="4"/>
    <n v="0"/>
    <n v="42859"/>
    <n v="0"/>
    <n v="20"/>
    <n v="44"/>
    <n v="6"/>
    <s v="Involontaire"/>
    <s v="30-44 ans"/>
    <x v="1"/>
    <x v="1"/>
  </r>
  <r>
    <s v="Beak  Kimberly  "/>
    <n v="10023"/>
    <n v="1"/>
    <n v="1"/>
    <n v="0"/>
    <n v="2"/>
    <n v="5"/>
    <n v="4"/>
    <n v="0"/>
    <n v="70131"/>
    <n v="0"/>
    <n v="20"/>
    <s v="Production Technician II"/>
    <s v="MA"/>
    <n v="2145"/>
    <d v="1966-04-17T00:00:00"/>
    <s v="F"/>
    <s v="Married"/>
    <s v="US Citizen"/>
    <s v="No"/>
    <x v="0"/>
    <d v="2016-07-21T00:00:00"/>
    <m/>
    <s v="N/A-StillEmployed"/>
    <s v="Active"/>
    <x v="0"/>
    <s v="Kelley Spirea"/>
    <n v="18"/>
    <x v="3"/>
    <s v="Exceeds"/>
    <s v="4.40"/>
    <n v="3"/>
    <n v="0"/>
    <s v="1/14/2019"/>
    <n v="0"/>
    <n v="16"/>
    <n v="59"/>
    <n v="9"/>
    <s v="Actif"/>
    <s v="45-59 ans"/>
    <x v="0"/>
    <x v="1"/>
  </r>
  <r>
    <s v="Beatrice  Courtney "/>
    <n v="10055"/>
    <n v="0"/>
    <n v="0"/>
    <n v="0"/>
    <n v="1"/>
    <n v="5"/>
    <n v="3"/>
    <n v="0"/>
    <n v="59026"/>
    <n v="0"/>
    <n v="19"/>
    <s v="Production Technician I"/>
    <s v="MA"/>
    <n v="1915"/>
    <d v="1970-10-27T00:00:00"/>
    <s v="F"/>
    <s v="Single"/>
    <s v="Eligible NonCitizen"/>
    <s v="No"/>
    <x v="0"/>
    <d v="2011-04-04T00:00:00"/>
    <m/>
    <s v="N/A-StillEmployed"/>
    <s v="Active"/>
    <x v="0"/>
    <s v="Elijiah Gray"/>
    <n v="16"/>
    <x v="2"/>
    <s v="Fully Meets"/>
    <s v="5.00"/>
    <n v="5"/>
    <n v="0"/>
    <s v="1/14/2019"/>
    <n v="0"/>
    <n v="12"/>
    <n v="55"/>
    <n v="15"/>
    <s v="Actif"/>
    <s v="45-59 ans"/>
    <x v="1"/>
    <x v="1"/>
  </r>
  <r>
    <s v="Becker  Renee"/>
    <n v="10245"/>
    <n v="0"/>
    <n v="0"/>
    <n v="0"/>
    <n v="4"/>
    <n v="3"/>
    <n v="3"/>
    <n v="0"/>
    <n v="110000"/>
    <n v="1"/>
    <n v="8"/>
    <s v="Database Administrator"/>
    <s v="MA"/>
    <n v="2026"/>
    <d v="1986-04-04T00:00:00"/>
    <s v="F"/>
    <s v="Single"/>
    <s v="US Citizen"/>
    <s v="Yes"/>
    <x v="0"/>
    <d v="2014-07-07T00:00:00"/>
    <d v="2015-12-09T00:00:00"/>
    <s v="performance"/>
    <s v="Terminated for Cause"/>
    <x v="1"/>
    <s v="Simon Roup"/>
    <n v="4"/>
    <x v="2"/>
    <s v="Fully Meets"/>
    <s v="4.50"/>
    <n v="4"/>
    <n v="5"/>
    <s v="1/15/2015"/>
    <n v="0"/>
    <n v="8"/>
    <n v="40"/>
    <n v="1"/>
    <s v="Involontaire"/>
    <s v="30-44 ans"/>
    <x v="1"/>
    <x v="0"/>
  </r>
  <r>
    <s v="Becker  Scott"/>
    <n v="10277"/>
    <n v="0"/>
    <n v="0"/>
    <n v="1"/>
    <n v="3"/>
    <n v="5"/>
    <n v="3"/>
    <n v="0"/>
    <n v="53250"/>
    <n v="0"/>
    <n v="19"/>
    <s v="Production Technician I"/>
    <s v="MA"/>
    <n v="2452"/>
    <d v="1979-06-04T00:00:00"/>
    <s v="M "/>
    <s v="Single"/>
    <s v="US Citizen"/>
    <s v="No"/>
    <x v="3"/>
    <d v="2013-08-07T00:00:00"/>
    <m/>
    <s v="N/A-StillEmployed"/>
    <s v="Active"/>
    <x v="0"/>
    <s v="Webster Butler"/>
    <m/>
    <x v="0"/>
    <s v="Fully Meets"/>
    <s v="4.20"/>
    <n v="4"/>
    <n v="0"/>
    <n v="43770"/>
    <n v="0"/>
    <n v="13"/>
    <n v="46"/>
    <n v="12"/>
    <s v="Actif"/>
    <s v="45-59 ans"/>
    <x v="1"/>
    <x v="1"/>
  </r>
  <r>
    <s v="Bernstein  Sean"/>
    <n v="10046"/>
    <n v="0"/>
    <n v="0"/>
    <n v="1"/>
    <n v="1"/>
    <n v="5"/>
    <n v="3"/>
    <n v="0"/>
    <n v="51044"/>
    <n v="0"/>
    <n v="19"/>
    <s v="Production Technician I"/>
    <s v="MA"/>
    <n v="2072"/>
    <d v="1970-12-22T00:00:00"/>
    <s v="M "/>
    <s v="Single"/>
    <s v="US Citizen"/>
    <s v="Yes"/>
    <x v="0"/>
    <d v="2012-02-04T00:00:00"/>
    <m/>
    <s v="N/A-StillEmployed"/>
    <s v="Active"/>
    <x v="0"/>
    <s v="Amy Dunn"/>
    <n v="11"/>
    <x v="2"/>
    <s v="Fully Meets"/>
    <s v="5.00"/>
    <n v="3"/>
    <n v="0"/>
    <s v="1/14/2019"/>
    <n v="0"/>
    <n v="13"/>
    <n v="55"/>
    <n v="14"/>
    <s v="Actif"/>
    <s v="45-59 ans"/>
    <x v="1"/>
    <x v="1"/>
  </r>
  <r>
    <s v="Biden  Lowan  M"/>
    <n v="10226"/>
    <n v="0"/>
    <n v="2"/>
    <n v="0"/>
    <n v="1"/>
    <n v="5"/>
    <n v="3"/>
    <n v="0"/>
    <n v="64919"/>
    <n v="0"/>
    <n v="19"/>
    <s v="Production Technician I"/>
    <s v="MA"/>
    <n v="2027"/>
    <d v="1958-12-27T00:00:00"/>
    <s v="F"/>
    <s v="Divorced"/>
    <s v="US Citizen"/>
    <s v="No"/>
    <x v="3"/>
    <d v="2013-08-19T00:00:00"/>
    <m/>
    <s v="N/A-StillEmployed"/>
    <s v="Active"/>
    <x v="0"/>
    <s v="Ketsia Liebig"/>
    <n v="19"/>
    <x v="1"/>
    <s v="Fully Meets"/>
    <s v="4.20"/>
    <n v="3"/>
    <n v="0"/>
    <n v="43739"/>
    <n v="0"/>
    <n v="2"/>
    <n v="67"/>
    <n v="12"/>
    <s v="Actif"/>
    <s v="60 ans et plus"/>
    <x v="1"/>
    <x v="0"/>
  </r>
  <r>
    <s v="Billis  Helen"/>
    <n v="10003"/>
    <n v="1"/>
    <n v="1"/>
    <n v="0"/>
    <n v="1"/>
    <n v="5"/>
    <n v="4"/>
    <n v="0"/>
    <n v="62910"/>
    <n v="0"/>
    <n v="19"/>
    <s v="Production Technician I"/>
    <s v="MA"/>
    <n v="2031"/>
    <d v="1989-01-09T00:00:00"/>
    <s v="F"/>
    <s v="Married"/>
    <s v="US Citizen"/>
    <s v="No"/>
    <x v="0"/>
    <d v="2014-07-07T00:00:00"/>
    <m/>
    <s v="N/A-StillEmployed"/>
    <s v="Active"/>
    <x v="0"/>
    <s v="Brannon Miller"/>
    <n v="12"/>
    <x v="1"/>
    <s v="Exceeds"/>
    <s v="5.00"/>
    <n v="3"/>
    <n v="0"/>
    <s v="2/27/2019"/>
    <n v="0"/>
    <n v="19"/>
    <n v="37"/>
    <n v="11"/>
    <s v="Actif"/>
    <s v="30-44 ans"/>
    <x v="0"/>
    <x v="1"/>
  </r>
  <r>
    <s v="Blount  Dianna"/>
    <n v="10294"/>
    <n v="0"/>
    <n v="0"/>
    <n v="0"/>
    <n v="1"/>
    <n v="5"/>
    <n v="2"/>
    <n v="0"/>
    <n v="66441"/>
    <n v="0"/>
    <n v="20"/>
    <s v="Production Technician II"/>
    <s v="MA"/>
    <n v="2171"/>
    <d v="1990-09-21T00:00:00"/>
    <s v="F"/>
    <s v="Single"/>
    <s v="US Citizen"/>
    <s v="No"/>
    <x v="0"/>
    <d v="2011-04-04T00:00:00"/>
    <m/>
    <s v="N/A-StillEmployed"/>
    <s v="Active"/>
    <x v="0"/>
    <s v="Michael Albert"/>
    <n v="22"/>
    <x v="6"/>
    <s v="Needs Improvement"/>
    <s v="2.00"/>
    <n v="3"/>
    <n v="0"/>
    <s v="2/27/2019"/>
    <n v="2"/>
    <n v="3"/>
    <n v="35"/>
    <n v="15"/>
    <s v="Actif"/>
    <s v="30-44 ans"/>
    <x v="2"/>
    <x v="0"/>
  </r>
  <r>
    <s v="Bondwell  Betsy"/>
    <n v="10267"/>
    <n v="0"/>
    <n v="0"/>
    <n v="0"/>
    <n v="5"/>
    <n v="5"/>
    <n v="3"/>
    <n v="0"/>
    <n v="57815"/>
    <n v="1"/>
    <n v="20"/>
    <s v="Production Technician II"/>
    <s v="MA"/>
    <n v="2210"/>
    <d v="1967-01-16T00:00:00"/>
    <s v="F"/>
    <s v="Single"/>
    <s v="US Citizen"/>
    <s v="No"/>
    <x v="0"/>
    <d v="2011-10-01T00:00:00"/>
    <d v="2014-04-04T00:00:00"/>
    <s v="career change"/>
    <s v="Voluntarily Terminated"/>
    <x v="0"/>
    <s v="Elijiah Gray"/>
    <n v="16"/>
    <x v="2"/>
    <s v="Fully Meets"/>
    <s v="4.80"/>
    <n v="5"/>
    <n v="0"/>
    <n v="41732"/>
    <n v="0"/>
    <n v="5"/>
    <n v="59"/>
    <n v="2"/>
    <s v="Volontaire"/>
    <s v="45-59 ans"/>
    <x v="1"/>
    <x v="0"/>
  </r>
  <r>
    <s v="Booth  Frank"/>
    <n v="10199"/>
    <n v="0"/>
    <n v="0"/>
    <n v="1"/>
    <n v="4"/>
    <n v="3"/>
    <n v="3"/>
    <n v="0"/>
    <n v="103613"/>
    <n v="1"/>
    <n v="30"/>
    <s v="Enterprise Architect"/>
    <s v="CT"/>
    <n v="6033"/>
    <d v="1964-07-30T00:00:00"/>
    <s v="M "/>
    <s v="Single"/>
    <s v="US Citizen"/>
    <s v="No"/>
    <x v="1"/>
    <d v="2014-02-17T00:00:00"/>
    <d v="2016-02-19T00:00:00"/>
    <s v="Learned that he is a gangster"/>
    <s v="Terminated for Cause"/>
    <x v="1"/>
    <s v="Simon Roup"/>
    <n v="4"/>
    <x v="0"/>
    <s v="Fully Meets"/>
    <s v="3.50"/>
    <n v="5"/>
    <n v="7"/>
    <n v="42644"/>
    <n v="0"/>
    <n v="2"/>
    <n v="61"/>
    <n v="2"/>
    <s v="Involontaire"/>
    <s v="60 ans et plus"/>
    <x v="1"/>
    <x v="0"/>
  </r>
  <r>
    <s v="Boutwell  Bonalyn"/>
    <n v="10081"/>
    <n v="1"/>
    <n v="1"/>
    <n v="0"/>
    <n v="1"/>
    <n v="1"/>
    <n v="3"/>
    <n v="1"/>
    <n v="106367"/>
    <n v="0"/>
    <n v="26"/>
    <s v="Sr. Accountant"/>
    <s v="MA"/>
    <n v="2468"/>
    <d v="1987-04-04T00:00:00"/>
    <s v="F"/>
    <s v="Married"/>
    <s v="US Citizen"/>
    <s v="No"/>
    <x v="1"/>
    <d v="2015-02-16T00:00:00"/>
    <m/>
    <s v="N/A-StillEmployed"/>
    <s v="Active"/>
    <x v="3"/>
    <s v="Brandon R. LeBlanc"/>
    <n v="3"/>
    <x v="4"/>
    <s v="Fully Meets"/>
    <s v="5.00"/>
    <n v="4"/>
    <n v="3"/>
    <s v="2/18/2019"/>
    <n v="0"/>
    <n v="4"/>
    <n v="39"/>
    <n v="11"/>
    <s v="Actif"/>
    <s v="30-44 ans"/>
    <x v="1"/>
    <x v="0"/>
  </r>
  <r>
    <s v="Bozzi  Charles"/>
    <n v="10175"/>
    <n v="0"/>
    <n v="0"/>
    <n v="1"/>
    <n v="5"/>
    <n v="5"/>
    <n v="3"/>
    <n v="0"/>
    <n v="74312"/>
    <n v="1"/>
    <n v="18"/>
    <s v="Production Manager"/>
    <s v="MA"/>
    <n v="1901"/>
    <d v="1970-10-03T00:00:00"/>
    <s v="M "/>
    <s v="Single"/>
    <s v="US Citizen"/>
    <s v="No"/>
    <x v="3"/>
    <d v="2013-09-30T00:00:00"/>
    <d v="2014-07-08T00:00:00"/>
    <s v="retiring"/>
    <s v="Voluntarily Terminated"/>
    <x v="0"/>
    <s v="Janet King"/>
    <n v="2"/>
    <x v="1"/>
    <s v="Fully Meets"/>
    <s v="3.39"/>
    <n v="3"/>
    <n v="0"/>
    <s v="2/20/2014"/>
    <n v="0"/>
    <n v="14"/>
    <n v="55"/>
    <n v="0"/>
    <s v="Volontaire"/>
    <s v="45-59 ans"/>
    <x v="1"/>
    <x v="1"/>
  </r>
  <r>
    <s v="Brill  Donna"/>
    <n v="10177"/>
    <n v="1"/>
    <n v="1"/>
    <n v="0"/>
    <n v="5"/>
    <n v="5"/>
    <n v="3"/>
    <n v="0"/>
    <n v="53492"/>
    <n v="1"/>
    <n v="19"/>
    <s v="Production Technician I"/>
    <s v="MA"/>
    <n v="1701"/>
    <d v="1990-08-24T00:00:00"/>
    <s v="F"/>
    <s v="Married"/>
    <s v="US Citizen"/>
    <s v="No"/>
    <x v="0"/>
    <d v="2012-02-04T00:00:00"/>
    <d v="2013-06-15T00:00:00"/>
    <s v="Another position"/>
    <s v="Voluntarily Terminated"/>
    <x v="0"/>
    <s v="David Stanley"/>
    <n v="14"/>
    <x v="2"/>
    <s v="Fully Meets"/>
    <s v="3.35"/>
    <n v="4"/>
    <n v="0"/>
    <n v="41367"/>
    <n v="0"/>
    <n v="6"/>
    <n v="35"/>
    <n v="1"/>
    <s v="Volontaire"/>
    <s v="30-44 ans"/>
    <x v="1"/>
    <x v="0"/>
  </r>
  <r>
    <s v="Brown  Mia"/>
    <n v="10238"/>
    <n v="1"/>
    <n v="1"/>
    <n v="0"/>
    <n v="1"/>
    <n v="1"/>
    <n v="3"/>
    <n v="1"/>
    <n v="63000"/>
    <n v="0"/>
    <n v="1"/>
    <s v="Accountant I"/>
    <s v="MA"/>
    <n v="1450"/>
    <d v="1987-11-24T00:00:00"/>
    <s v="F"/>
    <s v="Married"/>
    <s v="US Citizen"/>
    <s v="No"/>
    <x v="1"/>
    <d v="2008-10-27T00:00:00"/>
    <m/>
    <s v="N/A-StillEmployed"/>
    <s v="Active"/>
    <x v="3"/>
    <s v="Brandon R. LeBlanc"/>
    <n v="1"/>
    <x v="4"/>
    <s v="Fully Meets"/>
    <s v="4.50"/>
    <n v="2"/>
    <n v="6"/>
    <s v="1/15/2019"/>
    <n v="0"/>
    <n v="14"/>
    <n v="38"/>
    <n v="17"/>
    <s v="Actif"/>
    <s v="30-44 ans"/>
    <x v="1"/>
    <x v="1"/>
  </r>
  <r>
    <s v="Buccheri  Joseph  "/>
    <n v="10184"/>
    <n v="0"/>
    <n v="0"/>
    <n v="1"/>
    <n v="1"/>
    <n v="5"/>
    <n v="3"/>
    <n v="0"/>
    <n v="65288"/>
    <n v="0"/>
    <n v="20"/>
    <s v="Production Technician II"/>
    <s v="MA"/>
    <n v="1013"/>
    <d v="1983-07-28T00:00:00"/>
    <s v="M "/>
    <s v="Single"/>
    <s v="US Citizen"/>
    <s v="No"/>
    <x v="0"/>
    <d v="2014-09-29T00:00:00"/>
    <m/>
    <s v="N/A-StillEmployed"/>
    <s v="Active"/>
    <x v="0"/>
    <s v="Webster Butler"/>
    <m/>
    <x v="2"/>
    <s v="Fully Meets"/>
    <s v="3.19"/>
    <n v="3"/>
    <n v="0"/>
    <n v="43467"/>
    <n v="0"/>
    <n v="9"/>
    <n v="42"/>
    <n v="11"/>
    <s v="Actif"/>
    <s v="30-44 ans"/>
    <x v="1"/>
    <x v="0"/>
  </r>
  <r>
    <s v="Bugali  Josephine "/>
    <n v="10203"/>
    <n v="0"/>
    <n v="3"/>
    <n v="0"/>
    <n v="3"/>
    <n v="5"/>
    <n v="3"/>
    <n v="1"/>
    <n v="64375"/>
    <n v="0"/>
    <n v="19"/>
    <s v="Production Technician I"/>
    <s v="MA"/>
    <n v="2043"/>
    <d v="1969-10-30T00:00:00"/>
    <s v="F"/>
    <s v="Separated"/>
    <s v="US Citizen"/>
    <s v="No"/>
    <x v="1"/>
    <d v="2013-11-11T00:00:00"/>
    <m/>
    <s v="N/A-StillEmployed"/>
    <s v="Active"/>
    <x v="0"/>
    <s v="Kissy Sullivan"/>
    <n v="20"/>
    <x v="4"/>
    <s v="Fully Meets"/>
    <s v="3.50"/>
    <n v="5"/>
    <n v="0"/>
    <s v="1/21/2019"/>
    <n v="0"/>
    <n v="17"/>
    <n v="56"/>
    <n v="12"/>
    <s v="Actif"/>
    <s v="45-59 ans"/>
    <x v="1"/>
    <x v="1"/>
  </r>
  <r>
    <s v="Bunbury  Jessica"/>
    <n v="10188"/>
    <n v="1"/>
    <n v="1"/>
    <n v="0"/>
    <n v="5"/>
    <n v="6"/>
    <n v="3"/>
    <n v="0"/>
    <n v="74326"/>
    <n v="1"/>
    <n v="3"/>
    <s v="Area Sales Manager"/>
    <s v="VA"/>
    <n v="21851"/>
    <d v="1964-01-06T00:00:00"/>
    <s v="F"/>
    <s v="Married"/>
    <s v="Eligible NonCitizen"/>
    <s v="No"/>
    <x v="1"/>
    <d v="2011-08-15T00:00:00"/>
    <d v="2014-02-08T00:00:00"/>
    <s v="Another position"/>
    <s v="Voluntarily Terminated"/>
    <x v="4"/>
    <s v="John Smith"/>
    <n v="17"/>
    <x v="2"/>
    <s v="Fully Meets"/>
    <s v="3.14"/>
    <n v="5"/>
    <n v="0"/>
    <n v="41549"/>
    <n v="1"/>
    <n v="19"/>
    <n v="62"/>
    <n v="2"/>
    <s v="Volontaire"/>
    <s v="60 ans et plus"/>
    <x v="1"/>
    <x v="1"/>
  </r>
  <r>
    <s v="Burke  Joelle"/>
    <n v="10107"/>
    <n v="0"/>
    <n v="0"/>
    <n v="0"/>
    <n v="1"/>
    <n v="5"/>
    <n v="3"/>
    <n v="0"/>
    <n v="63763"/>
    <n v="0"/>
    <n v="20"/>
    <s v="Production Technician II"/>
    <s v="MA"/>
    <n v="2148"/>
    <d v="1980-02-03T00:00:00"/>
    <s v="F"/>
    <s v="Single"/>
    <s v="US Citizen"/>
    <s v="No"/>
    <x v="1"/>
    <d v="2012-05-03T00:00:00"/>
    <m/>
    <s v="N/A-StillEmployed"/>
    <s v="Active"/>
    <x v="0"/>
    <s v="Amy Dunn"/>
    <n v="11"/>
    <x v="3"/>
    <s v="Fully Meets"/>
    <s v="4.51"/>
    <n v="4"/>
    <n v="0"/>
    <s v="2/21/2019"/>
    <n v="0"/>
    <n v="3"/>
    <n v="46"/>
    <n v="13"/>
    <s v="Actif"/>
    <s v="45-59 ans"/>
    <x v="1"/>
    <x v="0"/>
  </r>
  <r>
    <s v="Burkett  Benjamin "/>
    <n v="10181"/>
    <n v="1"/>
    <n v="1"/>
    <n v="1"/>
    <n v="1"/>
    <n v="5"/>
    <n v="3"/>
    <n v="0"/>
    <n v="62162"/>
    <n v="0"/>
    <n v="20"/>
    <s v="Production Technician II"/>
    <s v="MA"/>
    <n v="1890"/>
    <d v="1977-08-19T00:00:00"/>
    <s v="M "/>
    <s v="Married"/>
    <s v="US Citizen"/>
    <s v="No"/>
    <x v="0"/>
    <d v="2011-04-04T00:00:00"/>
    <m/>
    <s v="N/A-StillEmployed"/>
    <s v="Active"/>
    <x v="0"/>
    <s v="Ketsia Liebig"/>
    <n v="19"/>
    <x v="1"/>
    <s v="Fully Meets"/>
    <s v="3.25"/>
    <n v="5"/>
    <n v="0"/>
    <s v="1/14/2019"/>
    <n v="0"/>
    <n v="15"/>
    <n v="48"/>
    <n v="15"/>
    <s v="Actif"/>
    <s v="45-59 ans"/>
    <x v="1"/>
    <x v="1"/>
  </r>
  <r>
    <s v="Cady  Max "/>
    <n v="10150"/>
    <n v="0"/>
    <n v="0"/>
    <n v="1"/>
    <n v="1"/>
    <n v="4"/>
    <n v="3"/>
    <n v="0"/>
    <n v="77692"/>
    <n v="0"/>
    <n v="25"/>
    <s v="Software Engineering Manager"/>
    <s v="MA"/>
    <n v="2184"/>
    <d v="1966-11-22T00:00:00"/>
    <s v="M "/>
    <s v="Single"/>
    <s v="US Citizen"/>
    <s v="No"/>
    <x v="0"/>
    <d v="2011-08-15T00:00:00"/>
    <m/>
    <s v="N/A-StillEmployed"/>
    <s v="Active"/>
    <x v="2"/>
    <s v="Jennifer Zamora"/>
    <n v="5"/>
    <x v="2"/>
    <s v="Fully Meets"/>
    <s v="3.84"/>
    <n v="3"/>
    <n v="5"/>
    <s v="1/21/2019"/>
    <n v="0"/>
    <n v="4"/>
    <n v="59"/>
    <n v="14"/>
    <s v="Actif"/>
    <s v="45-59 ans"/>
    <x v="1"/>
    <x v="0"/>
  </r>
  <r>
    <s v="Candie  Calvin"/>
    <n v="10001"/>
    <n v="0"/>
    <n v="0"/>
    <n v="1"/>
    <n v="1"/>
    <n v="5"/>
    <n v="4"/>
    <n v="0"/>
    <n v="72640"/>
    <n v="0"/>
    <n v="18"/>
    <s v="Production Manager"/>
    <s v="MA"/>
    <n v="2169"/>
    <d v="1983-09-08T00:00:00"/>
    <s v="M "/>
    <s v="Single"/>
    <s v="US Citizen"/>
    <s v="No"/>
    <x v="0"/>
    <d v="2016-01-28T00:00:00"/>
    <m/>
    <s v="N/A-StillEmployed"/>
    <s v="Active"/>
    <x v="0"/>
    <s v="Janet King"/>
    <n v="2"/>
    <x v="1"/>
    <s v="Exceeds"/>
    <s v="5.00"/>
    <n v="3"/>
    <n v="0"/>
    <s v="2/22/2019"/>
    <n v="0"/>
    <n v="14"/>
    <n v="42"/>
    <n v="10"/>
    <s v="Actif"/>
    <s v="30-44 ans"/>
    <x v="0"/>
    <x v="1"/>
  </r>
  <r>
    <s v="Carabbio  Judith"/>
    <n v="10085"/>
    <n v="0"/>
    <n v="0"/>
    <n v="0"/>
    <n v="1"/>
    <n v="4"/>
    <n v="3"/>
    <n v="0"/>
    <n v="93396"/>
    <n v="0"/>
    <n v="24"/>
    <s v="Software Engineer"/>
    <s v="MA"/>
    <n v="2132"/>
    <d v="1987-05-04T00:00:00"/>
    <s v="F"/>
    <s v="Single"/>
    <s v="US Citizen"/>
    <s v="No"/>
    <x v="0"/>
    <d v="2013-11-11T00:00:00"/>
    <m/>
    <s v="N/A-StillEmployed"/>
    <s v="Active"/>
    <x v="2"/>
    <s v="Alex Sweetwater"/>
    <n v="10"/>
    <x v="1"/>
    <s v="Fully Meets"/>
    <s v="4.96"/>
    <n v="4"/>
    <n v="6"/>
    <s v="1/30/2019"/>
    <n v="0"/>
    <n v="3"/>
    <n v="38"/>
    <n v="12"/>
    <s v="Actif"/>
    <s v="30-44 ans"/>
    <x v="1"/>
    <x v="0"/>
  </r>
  <r>
    <s v="Carey  Michael  "/>
    <n v="10115"/>
    <n v="0"/>
    <n v="0"/>
    <n v="1"/>
    <n v="1"/>
    <n v="5"/>
    <n v="3"/>
    <n v="0"/>
    <n v="52846"/>
    <n v="0"/>
    <n v="19"/>
    <s v="Production Technician I"/>
    <s v="MA"/>
    <n v="1701"/>
    <d v="1983-02-02T00:00:00"/>
    <s v="M "/>
    <s v="Single"/>
    <s v="US Citizen"/>
    <s v="No"/>
    <x v="1"/>
    <d v="2014-03-31T00:00:00"/>
    <m/>
    <s v="N/A-StillEmployed"/>
    <s v="Active"/>
    <x v="0"/>
    <s v="Kelley Spirea"/>
    <n v="18"/>
    <x v="0"/>
    <s v="Fully Meets"/>
    <s v="4.43"/>
    <n v="3"/>
    <n v="0"/>
    <n v="43467"/>
    <n v="0"/>
    <n v="14"/>
    <n v="43"/>
    <n v="12"/>
    <s v="Actif"/>
    <s v="30-44 ans"/>
    <x v="1"/>
    <x v="1"/>
  </r>
  <r>
    <s v="Carr  Claudia  N"/>
    <n v="10082"/>
    <n v="0"/>
    <n v="0"/>
    <n v="0"/>
    <n v="2"/>
    <n v="3"/>
    <n v="3"/>
    <n v="0"/>
    <n v="100031"/>
    <n v="0"/>
    <n v="27"/>
    <s v="Sr. DBA"/>
    <s v="MA"/>
    <n v="1886"/>
    <d v="1986-06-06T00:00:00"/>
    <s v="F"/>
    <s v="Single"/>
    <s v="US Citizen"/>
    <s v="No"/>
    <x v="1"/>
    <d v="2016-06-30T00:00:00"/>
    <m/>
    <s v="N/A-StillEmployed"/>
    <s v="Active"/>
    <x v="1"/>
    <s v="Simon Roup"/>
    <n v="4"/>
    <x v="0"/>
    <s v="Fully Meets"/>
    <s v="5.00"/>
    <n v="5"/>
    <n v="6"/>
    <s v="2/18/2019"/>
    <n v="0"/>
    <n v="7"/>
    <n v="39"/>
    <n v="9"/>
    <s v="Actif"/>
    <s v="30-44 ans"/>
    <x v="1"/>
    <x v="0"/>
  </r>
  <r>
    <s v="Carter  Michelle "/>
    <n v="10040"/>
    <n v="0"/>
    <n v="0"/>
    <n v="0"/>
    <n v="1"/>
    <n v="6"/>
    <n v="3"/>
    <n v="0"/>
    <n v="71860"/>
    <n v="0"/>
    <n v="3"/>
    <s v="Area Sales Manager"/>
    <s v="VT"/>
    <n v="5664"/>
    <d v="1963-05-15T00:00:00"/>
    <s v="F"/>
    <s v="Single"/>
    <s v="US Citizen"/>
    <s v="No"/>
    <x v="0"/>
    <d v="2014-08-18T00:00:00"/>
    <m/>
    <s v="N/A-StillEmployed"/>
    <s v="Active"/>
    <x v="4"/>
    <s v="John Smith"/>
    <n v="17"/>
    <x v="1"/>
    <s v="Fully Meets"/>
    <s v="5.00"/>
    <n v="5"/>
    <n v="0"/>
    <s v="1/21/2019"/>
    <n v="0"/>
    <n v="7"/>
    <n v="62"/>
    <n v="11"/>
    <s v="Actif"/>
    <s v="60 ans et plus"/>
    <x v="1"/>
    <x v="0"/>
  </r>
  <r>
    <s v="Chace  Beatrice "/>
    <n v="10067"/>
    <n v="0"/>
    <n v="0"/>
    <n v="0"/>
    <n v="1"/>
    <n v="5"/>
    <n v="3"/>
    <n v="0"/>
    <n v="61656"/>
    <n v="0"/>
    <n v="19"/>
    <s v="Production Technician I"/>
    <s v="MA"/>
    <n v="2763"/>
    <d v="1951-02-01T00:00:00"/>
    <s v="F"/>
    <s v="Single"/>
    <s v="US Citizen"/>
    <s v="No"/>
    <x v="0"/>
    <d v="2014-09-29T00:00:00"/>
    <m/>
    <s v="N/A-StillEmployed"/>
    <s v="Active"/>
    <x v="0"/>
    <s v="Michael Albert"/>
    <n v="22"/>
    <x v="2"/>
    <s v="Fully Meets"/>
    <s v="5.00"/>
    <n v="4"/>
    <n v="0"/>
    <n v="43801"/>
    <n v="0"/>
    <n v="11"/>
    <n v="75"/>
    <n v="11"/>
    <s v="Actif"/>
    <s v="60 ans et plus"/>
    <x v="1"/>
    <x v="1"/>
  </r>
  <r>
    <s v="Champaigne  Brian"/>
    <n v="10108"/>
    <n v="1"/>
    <n v="1"/>
    <n v="1"/>
    <n v="1"/>
    <n v="3"/>
    <n v="3"/>
    <n v="0"/>
    <n v="110929"/>
    <n v="0"/>
    <n v="5"/>
    <s v="BI Director"/>
    <s v="MA"/>
    <n v="2045"/>
    <d v="1972-09-02T00:00:00"/>
    <s v="M "/>
    <s v="Married"/>
    <s v="US Citizen"/>
    <s v="No"/>
    <x v="0"/>
    <d v="2016-06-09T00:00:00"/>
    <m/>
    <s v="N/A-StillEmployed"/>
    <s v="Active"/>
    <x v="1"/>
    <s v="Jennifer Zamora"/>
    <n v="5"/>
    <x v="1"/>
    <s v="Fully Meets"/>
    <s v="4.50"/>
    <n v="5"/>
    <n v="7"/>
    <s v="1/15/2019"/>
    <n v="0"/>
    <n v="8"/>
    <n v="53"/>
    <n v="9"/>
    <s v="Actif"/>
    <s v="45-59 ans"/>
    <x v="1"/>
    <x v="0"/>
  </r>
  <r>
    <s v="Chan  Lin"/>
    <n v="10210"/>
    <n v="0"/>
    <n v="0"/>
    <n v="0"/>
    <n v="1"/>
    <n v="5"/>
    <n v="3"/>
    <n v="0"/>
    <n v="54237"/>
    <n v="0"/>
    <n v="19"/>
    <s v="Production Technician I"/>
    <s v="MA"/>
    <n v="2170"/>
    <d v="1979-12-02T00:00:00"/>
    <s v="F"/>
    <s v="Single"/>
    <s v="US Citizen"/>
    <s v="No"/>
    <x v="0"/>
    <d v="2014-12-05T00:00:00"/>
    <m/>
    <s v="N/A-StillEmployed"/>
    <s v="Active"/>
    <x v="0"/>
    <s v="Elijiah Gray"/>
    <n v="16"/>
    <x v="1"/>
    <s v="Fully Meets"/>
    <s v="3.30"/>
    <n v="4"/>
    <n v="0"/>
    <s v="2/19/2019"/>
    <n v="0"/>
    <n v="11"/>
    <n v="46"/>
    <n v="11"/>
    <s v="Actif"/>
    <s v="45-59 ans"/>
    <x v="1"/>
    <x v="1"/>
  </r>
  <r>
    <s v="Chang  Donovan  E"/>
    <n v="10154"/>
    <n v="0"/>
    <n v="0"/>
    <n v="1"/>
    <n v="1"/>
    <n v="5"/>
    <n v="3"/>
    <n v="0"/>
    <n v="60380"/>
    <n v="0"/>
    <n v="19"/>
    <s v="Production Technician I"/>
    <s v="MA"/>
    <n v="1845"/>
    <d v="1983-08-24T00:00:00"/>
    <s v="M "/>
    <s v="Single"/>
    <s v="US Citizen"/>
    <s v="No"/>
    <x v="0"/>
    <d v="2013-08-07T00:00:00"/>
    <m/>
    <s v="N/A-StillEmployed"/>
    <s v="Active"/>
    <x v="0"/>
    <s v="Webster Butler"/>
    <m/>
    <x v="0"/>
    <s v="Fully Meets"/>
    <s v="3.80"/>
    <n v="5"/>
    <n v="0"/>
    <s v="1/14/2019"/>
    <n v="0"/>
    <n v="4"/>
    <n v="42"/>
    <n v="12"/>
    <s v="Actif"/>
    <s v="30-44 ans"/>
    <x v="1"/>
    <x v="0"/>
  </r>
  <r>
    <s v="Chigurh  Anton"/>
    <n v="10200"/>
    <n v="0"/>
    <n v="0"/>
    <n v="1"/>
    <n v="1"/>
    <n v="6"/>
    <n v="3"/>
    <n v="0"/>
    <n v="66808"/>
    <n v="0"/>
    <n v="3"/>
    <s v="Area Sales Manager"/>
    <s v="TX"/>
    <n v="78207"/>
    <d v="1970-11-06T00:00:00"/>
    <s v="M "/>
    <s v="Single"/>
    <s v="Eligible NonCitizen"/>
    <s v="No"/>
    <x v="1"/>
    <d v="2012-05-14T00:00:00"/>
    <m/>
    <s v="N/A-StillEmployed"/>
    <s v="Active"/>
    <x v="4"/>
    <s v="Lynn Daneault"/>
    <n v="21"/>
    <x v="3"/>
    <s v="Fully Meets"/>
    <s v="3.00"/>
    <n v="5"/>
    <n v="0"/>
    <s v="1/19/2019"/>
    <n v="0"/>
    <n v="17"/>
    <n v="55"/>
    <n v="13"/>
    <s v="Actif"/>
    <s v="45-59 ans"/>
    <x v="1"/>
    <x v="1"/>
  </r>
  <r>
    <s v="Chivukula  Enola"/>
    <n v="10240"/>
    <n v="0"/>
    <n v="0"/>
    <n v="0"/>
    <n v="5"/>
    <n v="5"/>
    <n v="3"/>
    <n v="0"/>
    <n v="64786"/>
    <n v="1"/>
    <n v="19"/>
    <s v="Production Technician I"/>
    <s v="MA"/>
    <n v="1775"/>
    <d v="1983-08-27T00:00:00"/>
    <s v="F"/>
    <s v="Single"/>
    <s v="US Citizen"/>
    <s v="No"/>
    <x v="0"/>
    <d v="2011-06-27T00:00:00"/>
    <d v="2015-11-15T00:00:00"/>
    <s v="relocation out of area"/>
    <s v="Voluntarily Terminated"/>
    <x v="0"/>
    <s v="Amy Dunn"/>
    <n v="11"/>
    <x v="1"/>
    <s v="Fully Meets"/>
    <s v="4.30"/>
    <n v="4"/>
    <n v="0"/>
    <n v="42280"/>
    <n v="0"/>
    <n v="3"/>
    <n v="42"/>
    <n v="4"/>
    <s v="Volontaire"/>
    <s v="30-44 ans"/>
    <x v="1"/>
    <x v="0"/>
  </r>
  <r>
    <s v="Cierpiszewski  Caroline  "/>
    <n v="10168"/>
    <n v="0"/>
    <n v="0"/>
    <n v="0"/>
    <n v="1"/>
    <n v="5"/>
    <n v="3"/>
    <n v="0"/>
    <n v="64816"/>
    <n v="0"/>
    <n v="19"/>
    <s v="Production Technician I"/>
    <s v="MA"/>
    <n v="2044"/>
    <d v="1988-05-31T00:00:00"/>
    <s v="F"/>
    <s v="Single"/>
    <s v="Non-Citizen"/>
    <s v="No"/>
    <x v="1"/>
    <d v="2011-03-10T00:00:00"/>
    <m/>
    <s v="N/A-StillEmployed"/>
    <s v="Active"/>
    <x v="0"/>
    <s v="Ketsia Liebig"/>
    <n v="19"/>
    <x v="1"/>
    <s v="Fully Meets"/>
    <s v="3.58"/>
    <n v="5"/>
    <n v="0"/>
    <s v="1/30/2019"/>
    <n v="0"/>
    <n v="3"/>
    <n v="37"/>
    <n v="15"/>
    <s v="Actif"/>
    <s v="30-44 ans"/>
    <x v="1"/>
    <x v="0"/>
  </r>
  <r>
    <s v="Clayton  Rick"/>
    <n v="10220"/>
    <n v="0"/>
    <n v="0"/>
    <n v="1"/>
    <n v="1"/>
    <n v="3"/>
    <n v="3"/>
    <n v="0"/>
    <n v="68678"/>
    <n v="0"/>
    <n v="14"/>
    <s v="IT Support"/>
    <s v="MA"/>
    <n v="2170"/>
    <d v="1985-05-09T00:00:00"/>
    <s v="M "/>
    <s v="Single"/>
    <s v="US Citizen"/>
    <s v="No"/>
    <x v="0"/>
    <d v="2012-05-09T00:00:00"/>
    <m/>
    <s v="N/A-StillEmployed"/>
    <s v="Active"/>
    <x v="1"/>
    <s v="Eric Dougall"/>
    <n v="6"/>
    <x v="1"/>
    <s v="Fully Meets"/>
    <s v="4.70"/>
    <n v="3"/>
    <n v="6"/>
    <s v="2/27/2019"/>
    <n v="0"/>
    <n v="2"/>
    <n v="40"/>
    <n v="13"/>
    <s v="Actif"/>
    <s v="30-44 ans"/>
    <x v="1"/>
    <x v="0"/>
  </r>
  <r>
    <s v="Cloninger  Jennifer"/>
    <n v="10275"/>
    <n v="1"/>
    <n v="1"/>
    <n v="0"/>
    <n v="5"/>
    <n v="5"/>
    <n v="3"/>
    <n v="0"/>
    <n v="64066"/>
    <n v="1"/>
    <n v="20"/>
    <s v="Production Technician II"/>
    <s v="MA"/>
    <n v="1752"/>
    <d v="1981-08-31T00:00:00"/>
    <s v="F"/>
    <s v="Married"/>
    <s v="US Citizen"/>
    <s v="No"/>
    <x v="0"/>
    <d v="2011-05-16T00:00:00"/>
    <d v="2013-07-01T00:00:00"/>
    <s v="unhappy"/>
    <s v="Voluntarily Terminated"/>
    <x v="0"/>
    <s v="Brannon Miller"/>
    <n v="12"/>
    <x v="2"/>
    <s v="Fully Meets"/>
    <s v="4.20"/>
    <n v="5"/>
    <n v="0"/>
    <n v="40973"/>
    <n v="0"/>
    <n v="9"/>
    <n v="44"/>
    <n v="2"/>
    <s v="Volontaire"/>
    <s v="30-44 ans"/>
    <x v="1"/>
    <x v="0"/>
  </r>
  <r>
    <s v="Close  Phil"/>
    <n v="10269"/>
    <n v="1"/>
    <n v="1"/>
    <n v="1"/>
    <n v="5"/>
    <n v="5"/>
    <n v="3"/>
    <n v="0"/>
    <n v="59369"/>
    <n v="1"/>
    <n v="20"/>
    <s v="Production Technician II"/>
    <s v="MA"/>
    <n v="2169"/>
    <d v="1978-11-25T00:00:00"/>
    <s v="M "/>
    <s v="Married"/>
    <s v="US Citizen"/>
    <s v="No"/>
    <x v="0"/>
    <d v="2010-08-30T00:00:00"/>
    <d v="2011-09-26T00:00:00"/>
    <s v="career change"/>
    <s v="Voluntarily Terminated"/>
    <x v="0"/>
    <s v="David Stanley"/>
    <n v="14"/>
    <x v="1"/>
    <s v="Fully Meets"/>
    <s v="4.20"/>
    <n v="4"/>
    <n v="0"/>
    <n v="40638"/>
    <n v="0"/>
    <n v="6"/>
    <n v="47"/>
    <n v="1"/>
    <s v="Volontaire"/>
    <s v="45-59 ans"/>
    <x v="1"/>
    <x v="0"/>
  </r>
  <r>
    <s v="Clukey  Elijian"/>
    <n v="10029"/>
    <n v="1"/>
    <n v="1"/>
    <n v="1"/>
    <n v="2"/>
    <n v="5"/>
    <n v="4"/>
    <n v="0"/>
    <n v="50373"/>
    <n v="0"/>
    <n v="19"/>
    <s v="Production Technician I"/>
    <s v="MA"/>
    <n v="2134"/>
    <d v="1980-08-26T00:00:00"/>
    <s v="M "/>
    <s v="Married"/>
    <s v="US Citizen"/>
    <s v="No"/>
    <x v="0"/>
    <d v="2016-06-07T00:00:00"/>
    <m/>
    <s v="N/A-StillEmployed"/>
    <s v="Active"/>
    <x v="0"/>
    <s v="Brannon Miller"/>
    <n v="12"/>
    <x v="3"/>
    <s v="Exceeds"/>
    <s v="4.10"/>
    <n v="4"/>
    <n v="0"/>
    <s v="2/28/2019"/>
    <n v="0"/>
    <n v="5"/>
    <n v="45"/>
    <n v="9"/>
    <s v="Actif"/>
    <s v="45-59 ans"/>
    <x v="0"/>
    <x v="0"/>
  </r>
  <r>
    <s v="Cockel  James"/>
    <n v="10261"/>
    <n v="0"/>
    <n v="0"/>
    <n v="1"/>
    <n v="1"/>
    <n v="5"/>
    <n v="3"/>
    <n v="0"/>
    <n v="63108"/>
    <n v="0"/>
    <n v="19"/>
    <s v="Production Technician I"/>
    <s v="MA"/>
    <n v="2452"/>
    <d v="1977-08-09T00:00:00"/>
    <s v="M "/>
    <s v="Single"/>
    <s v="US Citizen"/>
    <s v="No"/>
    <x v="0"/>
    <d v="2013-08-07T00:00:00"/>
    <m/>
    <s v="N/A-StillEmployed"/>
    <s v="Active"/>
    <x v="0"/>
    <s v="David Stanley"/>
    <n v="14"/>
    <x v="3"/>
    <s v="Fully Meets"/>
    <s v="4.40"/>
    <n v="5"/>
    <n v="0"/>
    <s v="1/14/2019"/>
    <n v="0"/>
    <n v="3"/>
    <n v="48"/>
    <n v="12"/>
    <s v="Actif"/>
    <s v="45-59 ans"/>
    <x v="1"/>
    <x v="0"/>
  </r>
  <r>
    <s v="Cole  Spencer"/>
    <n v="10292"/>
    <n v="0"/>
    <n v="0"/>
    <n v="1"/>
    <n v="4"/>
    <n v="5"/>
    <n v="2"/>
    <n v="0"/>
    <n v="59144"/>
    <n v="1"/>
    <n v="19"/>
    <s v="Production Technician I"/>
    <s v="MA"/>
    <n v="1880"/>
    <d v="1979-12-08T00:00:00"/>
    <s v="M "/>
    <s v="Single"/>
    <s v="US Citizen"/>
    <s v="No"/>
    <x v="1"/>
    <d v="2011-11-07T00:00:00"/>
    <d v="2016-09-23T00:00:00"/>
    <s v="performance"/>
    <s v="Terminated for Cause"/>
    <x v="0"/>
    <s v="Kissy Sullivan"/>
    <n v="20"/>
    <x v="0"/>
    <s v="Needs Improvement"/>
    <s v="2.00"/>
    <n v="3"/>
    <n v="0"/>
    <n v="42374"/>
    <n v="5"/>
    <n v="16"/>
    <n v="46"/>
    <n v="4"/>
    <s v="Involontaire"/>
    <s v="45-59 ans"/>
    <x v="2"/>
    <x v="1"/>
  </r>
  <r>
    <s v="Corleone  Michael"/>
    <n v="10282"/>
    <n v="0"/>
    <n v="2"/>
    <n v="1"/>
    <n v="1"/>
    <n v="5"/>
    <n v="2"/>
    <n v="0"/>
    <n v="68051"/>
    <n v="0"/>
    <n v="18"/>
    <s v="Production Manager"/>
    <s v="MA"/>
    <n v="1803"/>
    <d v="1975-12-17T00:00:00"/>
    <s v="M "/>
    <s v="Divorced"/>
    <s v="US Citizen"/>
    <s v="No"/>
    <x v="0"/>
    <d v="2010-07-20T00:00:00"/>
    <m/>
    <s v="N/A-StillEmployed"/>
    <s v="Active"/>
    <x v="0"/>
    <s v="Janet King"/>
    <n v="2"/>
    <x v="6"/>
    <s v="Needs Improvement"/>
    <s v="4.13"/>
    <n v="2"/>
    <n v="0"/>
    <s v="1/14/2019"/>
    <n v="3"/>
    <n v="3"/>
    <n v="50"/>
    <n v="15"/>
    <s v="Actif"/>
    <s v="45-59 ans"/>
    <x v="2"/>
    <x v="0"/>
  </r>
  <r>
    <s v="Corleone  Vito"/>
    <n v="10019"/>
    <n v="0"/>
    <n v="0"/>
    <n v="1"/>
    <n v="1"/>
    <n v="5"/>
    <n v="4"/>
    <n v="0"/>
    <n v="170500"/>
    <n v="0"/>
    <n v="10"/>
    <s v="Director of Operations"/>
    <s v="MA"/>
    <n v="2030"/>
    <d v="1983-03-19T00:00:00"/>
    <s v="M "/>
    <s v="Single"/>
    <s v="US Citizen"/>
    <s v="No"/>
    <x v="1"/>
    <d v="2009-05-01T00:00:00"/>
    <m/>
    <s v="N/A-StillEmployed"/>
    <s v="Active"/>
    <x v="0"/>
    <s v="Janet King"/>
    <n v="2"/>
    <x v="1"/>
    <s v="Exceeds"/>
    <s v="3.70"/>
    <n v="5"/>
    <n v="0"/>
    <n v="43557"/>
    <n v="0"/>
    <n v="15"/>
    <n v="43"/>
    <n v="16"/>
    <s v="Actif"/>
    <s v="30-44 ans"/>
    <x v="0"/>
    <x v="1"/>
  </r>
  <r>
    <s v="Cornett  Lisa "/>
    <n v="10094"/>
    <n v="1"/>
    <n v="1"/>
    <n v="0"/>
    <n v="1"/>
    <n v="5"/>
    <n v="3"/>
    <n v="0"/>
    <n v="63381"/>
    <n v="0"/>
    <n v="19"/>
    <s v="Production Technician I"/>
    <s v="MA"/>
    <n v="2189"/>
    <d v="1977-03-31T00:00:00"/>
    <s v="F"/>
    <s v="Married"/>
    <s v="US Citizen"/>
    <s v="Yes"/>
    <x v="0"/>
    <d v="2015-05-01T00:00:00"/>
    <m/>
    <s v="N/A-StillEmployed"/>
    <s v="Active"/>
    <x v="0"/>
    <s v="Kelley Spirea"/>
    <n v="18"/>
    <x v="1"/>
    <s v="Fully Meets"/>
    <s v="4.73"/>
    <n v="5"/>
    <n v="0"/>
    <s v="2/14/2019"/>
    <n v="0"/>
    <n v="6"/>
    <n v="49"/>
    <n v="10"/>
    <s v="Actif"/>
    <s v="45-59 ans"/>
    <x v="1"/>
    <x v="0"/>
  </r>
  <r>
    <s v="Costello  Frank"/>
    <n v="10193"/>
    <n v="1"/>
    <n v="1"/>
    <n v="1"/>
    <n v="1"/>
    <n v="3"/>
    <n v="3"/>
    <n v="0"/>
    <n v="83552"/>
    <n v="0"/>
    <n v="9"/>
    <s v="Data Analyst"/>
    <s v="MA"/>
    <n v="1810"/>
    <d v="1986-08-26T00:00:00"/>
    <s v="M "/>
    <s v="Married"/>
    <s v="US Citizen"/>
    <s v="No"/>
    <x v="0"/>
    <d v="2015-03-30T00:00:00"/>
    <m/>
    <s v="N/A-StillEmployed"/>
    <s v="Active"/>
    <x v="1"/>
    <s v="Simon Roup"/>
    <n v="4"/>
    <x v="1"/>
    <s v="Fully Meets"/>
    <s v="3.04"/>
    <n v="3"/>
    <n v="6"/>
    <s v="1/22/2019"/>
    <n v="0"/>
    <n v="2"/>
    <n v="39"/>
    <n v="11"/>
    <s v="Actif"/>
    <s v="30-44 ans"/>
    <x v="1"/>
    <x v="0"/>
  </r>
  <r>
    <s v="Crimmings    Jean"/>
    <n v="10132"/>
    <n v="0"/>
    <n v="0"/>
    <n v="0"/>
    <n v="2"/>
    <n v="5"/>
    <n v="3"/>
    <n v="0"/>
    <n v="56149"/>
    <n v="0"/>
    <n v="19"/>
    <s v="Production Technician I"/>
    <s v="MA"/>
    <n v="1821"/>
    <d v="1987-10-04T00:00:00"/>
    <s v="F"/>
    <s v="Single"/>
    <s v="US Citizen"/>
    <s v="No"/>
    <x v="0"/>
    <d v="2016-06-07T00:00:00"/>
    <m/>
    <s v="N/A-StillEmployed"/>
    <s v="Active"/>
    <x v="0"/>
    <s v="Michael Albert"/>
    <n v="22"/>
    <x v="0"/>
    <s v="Fully Meets"/>
    <s v="4.12"/>
    <n v="5"/>
    <n v="0"/>
    <s v="1/28/2019"/>
    <n v="0"/>
    <n v="15"/>
    <n v="38"/>
    <n v="9"/>
    <s v="Actif"/>
    <s v="30-44 ans"/>
    <x v="1"/>
    <x v="1"/>
  </r>
  <r>
    <s v="Cross  Noah"/>
    <n v="10083"/>
    <n v="0"/>
    <n v="0"/>
    <n v="1"/>
    <n v="1"/>
    <n v="3"/>
    <n v="3"/>
    <n v="0"/>
    <n v="92329"/>
    <n v="0"/>
    <n v="28"/>
    <s v="Sr. Network Engineer"/>
    <s v="CT"/>
    <n v="6278"/>
    <d v="1965-09-09T00:00:00"/>
    <s v="M "/>
    <s v="Single"/>
    <s v="US Citizen"/>
    <s v="No"/>
    <x v="0"/>
    <d v="2014-10-11T00:00:00"/>
    <m/>
    <s v="N/A-StillEmployed"/>
    <s v="Active"/>
    <x v="1"/>
    <s v="Peter Monroe"/>
    <n v="7"/>
    <x v="3"/>
    <s v="Fully Meets"/>
    <s v="5.00"/>
    <n v="3"/>
    <n v="4"/>
    <n v="43497"/>
    <n v="0"/>
    <n v="5"/>
    <n v="60"/>
    <n v="11"/>
    <s v="Actif"/>
    <s v="60 ans et plus"/>
    <x v="1"/>
    <x v="0"/>
  </r>
  <r>
    <s v="Daneault  Lynn"/>
    <n v="10099"/>
    <n v="0"/>
    <n v="0"/>
    <n v="0"/>
    <n v="1"/>
    <n v="6"/>
    <n v="3"/>
    <n v="0"/>
    <n v="65729"/>
    <n v="0"/>
    <n v="21"/>
    <s v="Sales Manager"/>
    <s v="VT"/>
    <n v="5473"/>
    <d v="1990-04-19T00:00:00"/>
    <s v="F"/>
    <s v="Single"/>
    <s v="US Citizen"/>
    <s v="No"/>
    <x v="0"/>
    <d v="2014-05-05T00:00:00"/>
    <m/>
    <s v="N/A-StillEmployed"/>
    <s v="Active"/>
    <x v="4"/>
    <s v="Debra Houlihan"/>
    <n v="15"/>
    <x v="1"/>
    <s v="Fully Meets"/>
    <s v="4.62"/>
    <n v="4"/>
    <n v="0"/>
    <s v="1/24/2019"/>
    <n v="0"/>
    <n v="8"/>
    <n v="35"/>
    <n v="11"/>
    <s v="Actif"/>
    <s v="30-44 ans"/>
    <x v="1"/>
    <x v="0"/>
  </r>
  <r>
    <s v="Daniele  Ann  "/>
    <n v="10212"/>
    <n v="1"/>
    <n v="1"/>
    <n v="0"/>
    <n v="3"/>
    <n v="3"/>
    <n v="3"/>
    <n v="0"/>
    <n v="85028"/>
    <n v="0"/>
    <n v="28"/>
    <s v="Sr. Network Engineer"/>
    <s v="CT"/>
    <n v="6033"/>
    <d v="1952-01-18T00:00:00"/>
    <s v="F"/>
    <s v="Married"/>
    <s v="US Citizen"/>
    <s v="No"/>
    <x v="0"/>
    <d v="2014-10-11T00:00:00"/>
    <m/>
    <s v="N/A-StillEmployed"/>
    <s v="Active"/>
    <x v="1"/>
    <s v="Peter Monroe"/>
    <n v="7"/>
    <x v="0"/>
    <s v="Fully Meets"/>
    <s v="3.10"/>
    <n v="5"/>
    <n v="8"/>
    <n v="43801"/>
    <n v="0"/>
    <n v="19"/>
    <n v="74"/>
    <n v="11"/>
    <s v="Actif"/>
    <s v="60 ans et plus"/>
    <x v="1"/>
    <x v="1"/>
  </r>
  <r>
    <s v="Darson  Jene'ya "/>
    <n v="10056"/>
    <n v="1"/>
    <n v="1"/>
    <n v="0"/>
    <n v="1"/>
    <n v="5"/>
    <n v="3"/>
    <n v="0"/>
    <n v="57583"/>
    <n v="0"/>
    <n v="19"/>
    <s v="Production Technician I"/>
    <s v="MA"/>
    <n v="2110"/>
    <d v="1978-05-11T00:00:00"/>
    <s v="F"/>
    <s v="Married"/>
    <s v="US Citizen"/>
    <s v="No"/>
    <x v="0"/>
    <d v="2012-02-07T00:00:00"/>
    <m/>
    <s v="N/A-StillEmployed"/>
    <s v="Active"/>
    <x v="0"/>
    <s v="Elijiah Gray"/>
    <n v="16"/>
    <x v="1"/>
    <s v="Fully Meets"/>
    <s v="5.00"/>
    <n v="3"/>
    <n v="0"/>
    <s v="2/25/2019"/>
    <n v="0"/>
    <n v="1"/>
    <n v="47"/>
    <n v="14"/>
    <s v="Actif"/>
    <s v="45-59 ans"/>
    <x v="1"/>
    <x v="0"/>
  </r>
  <r>
    <s v="Davis  Daniel"/>
    <n v="10143"/>
    <n v="0"/>
    <n v="0"/>
    <n v="1"/>
    <n v="1"/>
    <n v="5"/>
    <n v="3"/>
    <n v="0"/>
    <n v="56294"/>
    <n v="0"/>
    <n v="20"/>
    <s v="Production Technician II"/>
    <s v="MA"/>
    <n v="2458"/>
    <d v="1979-09-14T00:00:00"/>
    <s v="M "/>
    <s v="Single"/>
    <s v="Eligible NonCitizen"/>
    <s v="No"/>
    <x v="2"/>
    <d v="2011-07-11T00:00:00"/>
    <m/>
    <s v="N/A-StillEmployed"/>
    <s v="Active"/>
    <x v="0"/>
    <s v="Kissy Sullivan"/>
    <n v="20"/>
    <x v="0"/>
    <s v="Fully Meets"/>
    <s v="3.96"/>
    <n v="4"/>
    <n v="0"/>
    <s v="2/27/2019"/>
    <n v="0"/>
    <n v="6"/>
    <n v="46"/>
    <n v="14"/>
    <s v="Actif"/>
    <s v="45-59 ans"/>
    <x v="1"/>
    <x v="0"/>
  </r>
  <r>
    <s v="Dee  Randy"/>
    <n v="10311"/>
    <n v="1"/>
    <n v="1"/>
    <n v="1"/>
    <n v="1"/>
    <n v="6"/>
    <n v="1"/>
    <n v="0"/>
    <n v="56991"/>
    <n v="0"/>
    <n v="19"/>
    <s v="Production Technician I"/>
    <s v="MA"/>
    <n v="2138"/>
    <d v="1988-04-15T00:00:00"/>
    <s v="M "/>
    <s v="Married"/>
    <s v="US Citizen"/>
    <s v="No"/>
    <x v="0"/>
    <d v="2018-09-07T00:00:00"/>
    <m/>
    <s v="N/A-StillEmployed"/>
    <s v="Active"/>
    <x v="0"/>
    <s v="Brannon Miller"/>
    <n v="12"/>
    <x v="1"/>
    <s v="Fully Meets"/>
    <s v="4.3"/>
    <n v="4"/>
    <n v="3"/>
    <s v="1/31/2019"/>
    <n v="2"/>
    <n v="2"/>
    <n v="37"/>
    <n v="7"/>
    <s v="Actif"/>
    <s v="30-44 ans"/>
    <x v="3"/>
    <x v="0"/>
  </r>
  <r>
    <s v="DeGweck   James"/>
    <n v="10070"/>
    <n v="1"/>
    <n v="1"/>
    <n v="1"/>
    <n v="5"/>
    <n v="5"/>
    <n v="3"/>
    <n v="0"/>
    <n v="55722"/>
    <n v="1"/>
    <n v="19"/>
    <s v="Production Technician I"/>
    <s v="MA"/>
    <n v="1810"/>
    <d v="1977-10-31T00:00:00"/>
    <s v="M "/>
    <s v="Married"/>
    <s v="US Citizen"/>
    <s v="No"/>
    <x v="0"/>
    <d v="2011-05-16T00:00:00"/>
    <d v="2016-08-06T00:00:00"/>
    <s v="unhappy"/>
    <s v="Voluntarily Terminated"/>
    <x v="0"/>
    <s v="Webster Butler"/>
    <n v="39"/>
    <x v="1"/>
    <s v="Fully Meets"/>
    <s v="5.00"/>
    <n v="4"/>
    <n v="0"/>
    <n v="42404"/>
    <n v="0"/>
    <n v="14"/>
    <n v="48"/>
    <n v="5"/>
    <s v="Volontaire"/>
    <s v="45-59 ans"/>
    <x v="1"/>
    <x v="1"/>
  </r>
  <r>
    <s v="Del Bosque  Keyla"/>
    <n v="10155"/>
    <n v="0"/>
    <n v="0"/>
    <n v="0"/>
    <n v="1"/>
    <n v="4"/>
    <n v="3"/>
    <n v="0"/>
    <n v="101199"/>
    <n v="0"/>
    <n v="24"/>
    <s v="Software Engineer"/>
    <s v="MA"/>
    <n v="2176"/>
    <d v="1979-05-07T00:00:00"/>
    <s v="F"/>
    <s v="Single"/>
    <s v="US Citizen"/>
    <s v="No"/>
    <x v="1"/>
    <d v="2012-09-01T00:00:00"/>
    <m/>
    <s v="N/A-StillEmployed"/>
    <s v="Active"/>
    <x v="2"/>
    <s v="Alex Sweetwater"/>
    <n v="10"/>
    <x v="6"/>
    <s v="Fully Meets"/>
    <s v="3.79"/>
    <n v="5"/>
    <n v="5"/>
    <s v="1/25/2019"/>
    <n v="0"/>
    <n v="8"/>
    <n v="46"/>
    <n v="13"/>
    <s v="Actif"/>
    <s v="45-59 ans"/>
    <x v="1"/>
    <x v="0"/>
  </r>
  <r>
    <s v="Delarge  Alex"/>
    <n v="10306"/>
    <n v="0"/>
    <n v="0"/>
    <n v="1"/>
    <n v="1"/>
    <n v="6"/>
    <n v="1"/>
    <n v="0"/>
    <n v="61568"/>
    <n v="0"/>
    <n v="3"/>
    <s v="Area Sales Manager"/>
    <s v="AL"/>
    <n v="36006"/>
    <d v="1975-02-11T00:00:00"/>
    <s v="M "/>
    <s v="Single"/>
    <s v="US Citizen"/>
    <s v="No"/>
    <x v="2"/>
    <d v="2014-09-29T00:00:00"/>
    <m/>
    <s v="N/A-StillEmployed"/>
    <s v="Active"/>
    <x v="4"/>
    <s v="John Smith"/>
    <n v="17"/>
    <x v="1"/>
    <s v="PIP"/>
    <s v="1.93"/>
    <n v="3"/>
    <n v="0"/>
    <s v="1/30/2019"/>
    <n v="6"/>
    <n v="5"/>
    <n v="51"/>
    <n v="11"/>
    <s v="Actif"/>
    <s v="45-59 ans"/>
    <x v="3"/>
    <x v="0"/>
  </r>
  <r>
    <s v="Demita  Carla"/>
    <n v="10100"/>
    <n v="0"/>
    <n v="3"/>
    <n v="0"/>
    <n v="5"/>
    <n v="5"/>
    <n v="3"/>
    <n v="0"/>
    <n v="58275"/>
    <n v="1"/>
    <n v="20"/>
    <s v="Production Technician II"/>
    <s v="MA"/>
    <n v="2343"/>
    <d v="1951-02-25T00:00:00"/>
    <s v="F"/>
    <s v="Separated"/>
    <s v="US Citizen"/>
    <s v="No"/>
    <x v="1"/>
    <d v="2011-04-04T00:00:00"/>
    <d v="2015-04-11T00:00:00"/>
    <s v="more money"/>
    <s v="Voluntarily Terminated"/>
    <x v="0"/>
    <s v="Kelley Spirea"/>
    <n v="18"/>
    <x v="2"/>
    <s v="Fully Meets"/>
    <s v="4.62"/>
    <n v="5"/>
    <n v="0"/>
    <n v="42160"/>
    <n v="0"/>
    <n v="1"/>
    <n v="75"/>
    <n v="4"/>
    <s v="Volontaire"/>
    <s v="60 ans et plus"/>
    <x v="1"/>
    <x v="0"/>
  </r>
  <r>
    <s v="Desimone  Carl "/>
    <n v="10310"/>
    <n v="1"/>
    <n v="1"/>
    <n v="1"/>
    <n v="1"/>
    <n v="5"/>
    <n v="1"/>
    <n v="0"/>
    <n v="53189"/>
    <n v="0"/>
    <n v="19"/>
    <s v="Production Technician I"/>
    <s v="MA"/>
    <n v="2061"/>
    <d v="1967-04-19T00:00:00"/>
    <s v="M "/>
    <s v="Married"/>
    <s v="US Citizen"/>
    <s v="No"/>
    <x v="0"/>
    <d v="2014-07-07T00:00:00"/>
    <m/>
    <s v="N/A-StillEmployed"/>
    <s v="Active"/>
    <x v="0"/>
    <s v="Amy Dunn"/>
    <n v="11"/>
    <x v="1"/>
    <s v="PIP"/>
    <s v="1.12"/>
    <n v="2"/>
    <n v="0"/>
    <s v="1/31/2019"/>
    <n v="4"/>
    <n v="9"/>
    <n v="58"/>
    <n v="11"/>
    <s v="Actif"/>
    <s v="45-59 ans"/>
    <x v="3"/>
    <x v="0"/>
  </r>
  <r>
    <s v="DeVito  Tommy"/>
    <n v="10197"/>
    <n v="0"/>
    <n v="0"/>
    <n v="1"/>
    <n v="1"/>
    <n v="3"/>
    <n v="3"/>
    <n v="0"/>
    <n v="96820"/>
    <n v="0"/>
    <n v="4"/>
    <s v="BI Developer"/>
    <s v="MA"/>
    <n v="2045"/>
    <d v="1983-04-09T00:00:00"/>
    <s v="M "/>
    <s v="Single"/>
    <s v="US Citizen"/>
    <s v="No"/>
    <x v="0"/>
    <d v="2017-02-15T00:00:00"/>
    <m/>
    <s v="N/A-StillEmployed"/>
    <s v="Active"/>
    <x v="1"/>
    <s v="Brian Champaigne"/>
    <n v="13"/>
    <x v="1"/>
    <s v="Fully Meets"/>
    <s v="3.01"/>
    <n v="5"/>
    <n v="7"/>
    <s v="1/23/2019"/>
    <n v="0"/>
    <n v="15"/>
    <n v="42"/>
    <n v="9"/>
    <s v="Actif"/>
    <s v="30-44 ans"/>
    <x v="1"/>
    <x v="1"/>
  </r>
  <r>
    <s v="Dickinson  Geoff "/>
    <n v="10276"/>
    <n v="0"/>
    <n v="0"/>
    <n v="1"/>
    <n v="1"/>
    <n v="5"/>
    <n v="3"/>
    <n v="0"/>
    <n v="51259"/>
    <n v="0"/>
    <n v="19"/>
    <s v="Production Technician I"/>
    <s v="MA"/>
    <n v="2180"/>
    <d v="1982-11-15T00:00:00"/>
    <s v="M "/>
    <s v="Single"/>
    <s v="US Citizen"/>
    <s v="No"/>
    <x v="0"/>
    <d v="2014-12-05T00:00:00"/>
    <m/>
    <s v="N/A-StillEmployed"/>
    <s v="Active"/>
    <x v="0"/>
    <s v="Ketsia Liebig"/>
    <n v="19"/>
    <x v="1"/>
    <s v="Fully Meets"/>
    <s v="4.30"/>
    <n v="4"/>
    <n v="0"/>
    <s v="2/19/2019"/>
    <n v="0"/>
    <n v="1"/>
    <n v="43"/>
    <n v="11"/>
    <s v="Actif"/>
    <s v="30-44 ans"/>
    <x v="1"/>
    <x v="0"/>
  </r>
  <r>
    <s v="Dietrich  Jenna  "/>
    <n v="10304"/>
    <n v="0"/>
    <n v="0"/>
    <n v="0"/>
    <n v="1"/>
    <n v="6"/>
    <n v="1"/>
    <n v="0"/>
    <n v="59231"/>
    <n v="0"/>
    <n v="3"/>
    <s v="Area Sales Manager"/>
    <s v="WA"/>
    <n v="98052"/>
    <d v="1987-05-14T00:00:00"/>
    <s v="F"/>
    <s v="Single"/>
    <s v="US Citizen"/>
    <s v="Yes"/>
    <x v="0"/>
    <d v="2012-02-20T00:00:00"/>
    <m/>
    <s v="N/A-StillEmployed"/>
    <s v="Active"/>
    <x v="4"/>
    <s v="John Smith"/>
    <n v="17"/>
    <x v="7"/>
    <s v="PIP"/>
    <s v="2.30"/>
    <n v="1"/>
    <n v="0"/>
    <s v="1/29/2019"/>
    <n v="2"/>
    <n v="17"/>
    <n v="38"/>
    <n v="14"/>
    <s v="Actif"/>
    <s v="30-44 ans"/>
    <x v="3"/>
    <x v="1"/>
  </r>
  <r>
    <s v="DiNocco  Lily "/>
    <n v="10284"/>
    <n v="1"/>
    <n v="1"/>
    <n v="0"/>
    <n v="1"/>
    <n v="5"/>
    <n v="2"/>
    <n v="0"/>
    <n v="61584"/>
    <n v="0"/>
    <n v="19"/>
    <s v="Production Technician I"/>
    <s v="MA"/>
    <n v="2351"/>
    <d v="1978-02-12T00:00:00"/>
    <s v="F"/>
    <s v="Married"/>
    <s v="US Citizen"/>
    <s v="No"/>
    <x v="1"/>
    <d v="2013-07-01T00:00:00"/>
    <m/>
    <s v="N/A-StillEmployed"/>
    <s v="Active"/>
    <x v="0"/>
    <s v="Brannon Miller"/>
    <n v="12"/>
    <x v="1"/>
    <s v="Needs Improvement"/>
    <s v="3.88"/>
    <n v="4"/>
    <n v="0"/>
    <s v="1/18/2019"/>
    <n v="0"/>
    <n v="6"/>
    <n v="48"/>
    <n v="12"/>
    <s v="Actif"/>
    <s v="45-59 ans"/>
    <x v="2"/>
    <x v="0"/>
  </r>
  <r>
    <s v="Dobrin  Denisa  S"/>
    <n v="10207"/>
    <n v="0"/>
    <n v="0"/>
    <n v="0"/>
    <n v="1"/>
    <n v="5"/>
    <n v="3"/>
    <n v="0"/>
    <n v="46335"/>
    <n v="0"/>
    <n v="19"/>
    <s v="Production Technician I"/>
    <s v="MA"/>
    <n v="2125"/>
    <d v="1986-07-10T00:00:00"/>
    <s v="F"/>
    <s v="Single"/>
    <s v="US Citizen"/>
    <s v="Yes"/>
    <x v="0"/>
    <d v="2012-02-04T00:00:00"/>
    <m/>
    <s v="N/A-StillEmployed"/>
    <s v="Active"/>
    <x v="0"/>
    <s v="David Stanley"/>
    <n v="14"/>
    <x v="6"/>
    <s v="Fully Meets"/>
    <s v="3.40"/>
    <n v="5"/>
    <n v="0"/>
    <s v="2/19/2019"/>
    <n v="0"/>
    <n v="15"/>
    <n v="39"/>
    <n v="14"/>
    <s v="Actif"/>
    <s v="30-44 ans"/>
    <x v="1"/>
    <x v="1"/>
  </r>
  <r>
    <s v="Dolan  Linda"/>
    <n v="10133"/>
    <n v="1"/>
    <n v="1"/>
    <n v="0"/>
    <n v="1"/>
    <n v="3"/>
    <n v="3"/>
    <n v="0"/>
    <n v="70621"/>
    <n v="0"/>
    <n v="14"/>
    <s v="IT Support"/>
    <s v="MA"/>
    <n v="2119"/>
    <d v="1988-07-18T00:00:00"/>
    <s v="F"/>
    <s v="Married"/>
    <s v="US Citizen"/>
    <s v="No"/>
    <x v="0"/>
    <d v="2015-05-01T00:00:00"/>
    <m/>
    <s v="N/A-StillEmployed"/>
    <s v="Active"/>
    <x v="1"/>
    <s v="Peter Monroe"/>
    <n v="7"/>
    <x v="3"/>
    <s v="Fully Meets"/>
    <s v="4.11"/>
    <n v="4"/>
    <n v="6"/>
    <s v="2/25/2019"/>
    <n v="0"/>
    <n v="16"/>
    <n v="37"/>
    <n v="10"/>
    <s v="Actif"/>
    <s v="30-44 ans"/>
    <x v="1"/>
    <x v="1"/>
  </r>
  <r>
    <s v="Dougall  Eric"/>
    <n v="10028"/>
    <n v="0"/>
    <n v="0"/>
    <n v="1"/>
    <n v="1"/>
    <n v="3"/>
    <n v="4"/>
    <n v="0"/>
    <n v="138888"/>
    <n v="0"/>
    <n v="13"/>
    <s v="IT Manager - Support"/>
    <s v="MA"/>
    <n v="1886"/>
    <d v="1970-09-07T00:00:00"/>
    <s v="M "/>
    <s v="Single"/>
    <s v="US Citizen"/>
    <s v="No"/>
    <x v="1"/>
    <d v="2014-05-01T00:00:00"/>
    <m/>
    <s v="N/A-StillEmployed"/>
    <s v="Active"/>
    <x v="1"/>
    <s v="Jennifer Zamora"/>
    <n v="5"/>
    <x v="1"/>
    <s v="Exceeds"/>
    <s v="4.30"/>
    <n v="5"/>
    <n v="5"/>
    <n v="43556"/>
    <n v="0"/>
    <n v="4"/>
    <n v="55"/>
    <n v="11"/>
    <s v="Actif"/>
    <s v="45-59 ans"/>
    <x v="0"/>
    <x v="0"/>
  </r>
  <r>
    <s v="Driver  Elle"/>
    <n v="10006"/>
    <n v="0"/>
    <n v="0"/>
    <n v="0"/>
    <n v="1"/>
    <n v="6"/>
    <n v="4"/>
    <n v="0"/>
    <n v="74241"/>
    <n v="0"/>
    <n v="3"/>
    <s v="Area Sales Manager"/>
    <s v="CA"/>
    <n v="90007"/>
    <d v="1988-08-11T00:00:00"/>
    <s v="F"/>
    <s v="Single"/>
    <s v="US Citizen"/>
    <s v="No"/>
    <x v="0"/>
    <d v="2011-10-01T00:00:00"/>
    <m/>
    <s v="N/A-StillEmployed"/>
    <s v="Active"/>
    <x v="4"/>
    <s v="Lynn Daneault"/>
    <n v="21"/>
    <x v="1"/>
    <s v="Exceeds"/>
    <s v="4.77"/>
    <n v="5"/>
    <n v="0"/>
    <s v="1/27/2019"/>
    <n v="0"/>
    <n v="14"/>
    <n v="37"/>
    <n v="14"/>
    <s v="Actif"/>
    <s v="30-44 ans"/>
    <x v="0"/>
    <x v="1"/>
  </r>
  <r>
    <s v="Dunn  Amy  "/>
    <n v="10105"/>
    <n v="0"/>
    <n v="0"/>
    <n v="0"/>
    <n v="1"/>
    <n v="5"/>
    <n v="3"/>
    <n v="0"/>
    <n v="75188"/>
    <n v="0"/>
    <n v="18"/>
    <s v="Production Manager"/>
    <s v="MA"/>
    <n v="1731"/>
    <d v="1973-11-28T00:00:00"/>
    <s v="F"/>
    <s v="Single"/>
    <s v="US Citizen"/>
    <s v="No"/>
    <x v="0"/>
    <d v="2014-09-18T00:00:00"/>
    <m/>
    <s v="N/A-StillEmployed"/>
    <s v="Active"/>
    <x v="0"/>
    <s v="Janet King"/>
    <n v="2"/>
    <x v="2"/>
    <s v="Fully Meets"/>
    <s v="4.52"/>
    <n v="4"/>
    <n v="0"/>
    <s v="1/15/2019"/>
    <n v="0"/>
    <n v="4"/>
    <n v="52"/>
    <n v="11"/>
    <s v="Actif"/>
    <s v="45-59 ans"/>
    <x v="1"/>
    <x v="0"/>
  </r>
  <r>
    <s v="Dunne  Amy"/>
    <n v="10211"/>
    <n v="1"/>
    <n v="1"/>
    <n v="0"/>
    <n v="1"/>
    <n v="5"/>
    <n v="3"/>
    <n v="0"/>
    <n v="62514"/>
    <n v="0"/>
    <n v="19"/>
    <s v="Production Technician I"/>
    <s v="MA"/>
    <n v="1749"/>
    <d v="1973-09-23T00:00:00"/>
    <s v="F"/>
    <s v="Married"/>
    <s v="US Citizen"/>
    <s v="No"/>
    <x v="0"/>
    <d v="2010-04-26T00:00:00"/>
    <m/>
    <s v="N/A-StillEmployed"/>
    <s v="Active"/>
    <x v="0"/>
    <s v="Ketsia Liebig"/>
    <n v="19"/>
    <x v="2"/>
    <s v="Fully Meets"/>
    <s v="2.90"/>
    <n v="3"/>
    <n v="0"/>
    <s v="1/21/2019"/>
    <n v="0"/>
    <n v="6"/>
    <n v="52"/>
    <n v="15"/>
    <s v="Actif"/>
    <s v="45-59 ans"/>
    <x v="1"/>
    <x v="0"/>
  </r>
  <r>
    <s v="Eaton  Marianne"/>
    <n v="10064"/>
    <n v="1"/>
    <n v="1"/>
    <n v="0"/>
    <n v="5"/>
    <n v="5"/>
    <n v="3"/>
    <n v="0"/>
    <n v="60070"/>
    <n v="1"/>
    <n v="19"/>
    <s v="Production Technician I"/>
    <s v="MA"/>
    <n v="2343"/>
    <d v="1991-05-09T00:00:00"/>
    <s v="F"/>
    <s v="Married"/>
    <s v="US Citizen"/>
    <s v="No"/>
    <x v="0"/>
    <d v="2011-04-04T00:00:00"/>
    <d v="2017-06-06T00:00:00"/>
    <s v="military"/>
    <s v="Voluntarily Terminated"/>
    <x v="0"/>
    <s v="Kissy Sullivan"/>
    <n v="20"/>
    <x v="2"/>
    <s v="Fully Meets"/>
    <s v="5.00"/>
    <n v="3"/>
    <n v="0"/>
    <n v="42982"/>
    <n v="0"/>
    <n v="7"/>
    <n v="34"/>
    <n v="6"/>
    <s v="Volontaire"/>
    <s v="30-44 ans"/>
    <x v="1"/>
    <x v="0"/>
  </r>
  <r>
    <s v="Engdahl  Jean"/>
    <n v="10247"/>
    <n v="0"/>
    <n v="0"/>
    <n v="1"/>
    <n v="1"/>
    <n v="5"/>
    <n v="3"/>
    <n v="0"/>
    <n v="48888"/>
    <n v="0"/>
    <n v="19"/>
    <s v="Production Technician I"/>
    <s v="MA"/>
    <n v="2026"/>
    <d v="1974-05-31T00:00:00"/>
    <s v="M "/>
    <s v="Single"/>
    <s v="US Citizen"/>
    <s v="No"/>
    <x v="0"/>
    <d v="2014-10-11T00:00:00"/>
    <m/>
    <s v="N/A-StillEmployed"/>
    <s v="Active"/>
    <x v="0"/>
    <s v="Kelley Spirea"/>
    <n v="18"/>
    <x v="0"/>
    <s v="Fully Meets"/>
    <s v="4.70"/>
    <n v="5"/>
    <n v="0"/>
    <s v="2/13/2019"/>
    <n v="0"/>
    <n v="8"/>
    <n v="51"/>
    <n v="11"/>
    <s v="Actif"/>
    <s v="45-59 ans"/>
    <x v="1"/>
    <x v="0"/>
  </r>
  <r>
    <s v="England  Rex"/>
    <n v="10235"/>
    <n v="1"/>
    <n v="1"/>
    <n v="1"/>
    <n v="1"/>
    <n v="5"/>
    <n v="3"/>
    <n v="0"/>
    <n v="54285"/>
    <n v="0"/>
    <n v="19"/>
    <s v="Production Technician I"/>
    <s v="MA"/>
    <n v="2045"/>
    <d v="1978-08-25T00:00:00"/>
    <s v="M "/>
    <s v="Married"/>
    <s v="US Citizen"/>
    <s v="No"/>
    <x v="0"/>
    <d v="2014-03-31T00:00:00"/>
    <m/>
    <s v="N/A-StillEmployed"/>
    <s v="Active"/>
    <x v="0"/>
    <s v="Kelley Spirea"/>
    <n v="18"/>
    <x v="3"/>
    <s v="Fully Meets"/>
    <s v="4.20"/>
    <n v="3"/>
    <n v="0"/>
    <n v="43770"/>
    <n v="0"/>
    <n v="3"/>
    <n v="47"/>
    <n v="12"/>
    <s v="Actif"/>
    <s v="45-59 ans"/>
    <x v="1"/>
    <x v="0"/>
  </r>
  <r>
    <s v="Erilus  Angela"/>
    <n v="10299"/>
    <n v="0"/>
    <n v="3"/>
    <n v="0"/>
    <n v="1"/>
    <n v="5"/>
    <n v="1"/>
    <n v="0"/>
    <n v="56847"/>
    <n v="0"/>
    <n v="20"/>
    <s v="Production Technician II"/>
    <s v="MA"/>
    <n v="2133"/>
    <d v="1989-08-25T00:00:00"/>
    <s v="F"/>
    <s v="Separated"/>
    <s v="US Citizen"/>
    <s v="No"/>
    <x v="0"/>
    <d v="2014-07-07T00:00:00"/>
    <m/>
    <s v="N/A-StillEmployed"/>
    <s v="Active"/>
    <x v="0"/>
    <s v="Michael Albert"/>
    <n v="22"/>
    <x v="1"/>
    <s v="PIP"/>
    <s v="3.00"/>
    <n v="1"/>
    <n v="0"/>
    <s v="2/25/2019"/>
    <n v="2"/>
    <n v="5"/>
    <n v="36"/>
    <n v="11"/>
    <s v="Actif"/>
    <s v="30-44 ans"/>
    <x v="3"/>
    <x v="0"/>
  </r>
  <r>
    <s v="Estremera  Miguel"/>
    <n v="10280"/>
    <n v="0"/>
    <n v="0"/>
    <n v="1"/>
    <n v="4"/>
    <n v="5"/>
    <n v="2"/>
    <n v="0"/>
    <n v="60340"/>
    <n v="1"/>
    <n v="19"/>
    <s v="Production Technician I"/>
    <s v="MA"/>
    <n v="2129"/>
    <d v="1983-02-09T00:00:00"/>
    <s v="M "/>
    <s v="Single"/>
    <s v="US Citizen"/>
    <s v="No"/>
    <x v="0"/>
    <d v="2012-02-04T00:00:00"/>
    <d v="2018-09-27T00:00:00"/>
    <s v="attendance"/>
    <s v="Terminated for Cause"/>
    <x v="0"/>
    <s v="Michael Albert"/>
    <n v="22"/>
    <x v="2"/>
    <s v="Needs Improvement"/>
    <s v="5.00"/>
    <n v="4"/>
    <n v="0"/>
    <n v="43438"/>
    <n v="5"/>
    <n v="16"/>
    <n v="43"/>
    <n v="6"/>
    <s v="Involontaire"/>
    <s v="30-44 ans"/>
    <x v="2"/>
    <x v="1"/>
  </r>
  <r>
    <s v="Evensen  April"/>
    <n v="10296"/>
    <n v="0"/>
    <n v="0"/>
    <n v="0"/>
    <n v="4"/>
    <n v="5"/>
    <n v="2"/>
    <n v="0"/>
    <n v="59124"/>
    <n v="1"/>
    <n v="19"/>
    <s v="Production Technician I"/>
    <s v="MA"/>
    <n v="2458"/>
    <d v="1989-06-05T00:00:00"/>
    <s v="F"/>
    <s v="Single"/>
    <s v="US Citizen"/>
    <s v="No"/>
    <x v="0"/>
    <d v="2014-02-17T00:00:00"/>
    <d v="2018-02-25T00:00:00"/>
    <s v="no-call, no-show"/>
    <s v="Terminated for Cause"/>
    <x v="0"/>
    <s v="Elijiah Gray"/>
    <n v="16"/>
    <x v="2"/>
    <s v="Needs Improvement"/>
    <s v="2.30"/>
    <n v="3"/>
    <n v="0"/>
    <s v="1/15/2017"/>
    <n v="5"/>
    <n v="19"/>
    <n v="36"/>
    <n v="4"/>
    <s v="Involontaire"/>
    <s v="30-44 ans"/>
    <x v="2"/>
    <x v="1"/>
  </r>
  <r>
    <s v="Exantus  Susan"/>
    <n v="10290"/>
    <n v="1"/>
    <n v="1"/>
    <n v="0"/>
    <n v="4"/>
    <n v="4"/>
    <n v="2"/>
    <n v="0"/>
    <n v="99280"/>
    <n v="1"/>
    <n v="24"/>
    <s v="Software Engineer"/>
    <s v="MA"/>
    <n v="1749"/>
    <d v="1987-05-15T00:00:00"/>
    <s v="F"/>
    <s v="Married"/>
    <s v="US Citizen"/>
    <s v="No"/>
    <x v="1"/>
    <d v="2011-02-05T00:00:00"/>
    <d v="2013-05-06T00:00:00"/>
    <s v="attendance"/>
    <s v="Terminated for Cause"/>
    <x v="2"/>
    <s v="Alex Sweetwater"/>
    <n v="10"/>
    <x v="1"/>
    <s v="Needs Improvement"/>
    <s v="2.10"/>
    <n v="5"/>
    <n v="4"/>
    <n v="41190"/>
    <n v="4"/>
    <n v="19"/>
    <n v="38"/>
    <n v="2"/>
    <s v="Involontaire"/>
    <s v="30-44 ans"/>
    <x v="2"/>
    <x v="1"/>
  </r>
  <r>
    <s v="Faller  Megan "/>
    <n v="10263"/>
    <n v="1"/>
    <n v="1"/>
    <n v="0"/>
    <n v="1"/>
    <n v="5"/>
    <n v="3"/>
    <n v="0"/>
    <n v="71776"/>
    <n v="0"/>
    <n v="20"/>
    <s v="Production Technician II"/>
    <s v="MA"/>
    <n v="1824"/>
    <d v="1978-09-22T00:00:00"/>
    <s v="F"/>
    <s v="Married"/>
    <s v="US Citizen"/>
    <s v="No"/>
    <x v="1"/>
    <d v="2014-07-07T00:00:00"/>
    <m/>
    <s v="N/A-StillEmployed"/>
    <s v="Active"/>
    <x v="0"/>
    <s v="Elijiah Gray"/>
    <n v="16"/>
    <x v="0"/>
    <s v="Fully Meets"/>
    <s v="4.40"/>
    <n v="5"/>
    <n v="0"/>
    <s v="2/22/2019"/>
    <n v="0"/>
    <n v="17"/>
    <n v="47"/>
    <n v="11"/>
    <s v="Actif"/>
    <s v="45-59 ans"/>
    <x v="1"/>
    <x v="1"/>
  </r>
  <r>
    <s v="Fancett  Nicole"/>
    <n v="10136"/>
    <n v="0"/>
    <n v="0"/>
    <n v="0"/>
    <n v="1"/>
    <n v="5"/>
    <n v="3"/>
    <n v="0"/>
    <n v="65902"/>
    <n v="0"/>
    <n v="20"/>
    <s v="Production Technician II"/>
    <s v="MA"/>
    <n v="2324"/>
    <d v="1987-09-27T00:00:00"/>
    <s v="F"/>
    <s v="Single"/>
    <s v="US Citizen"/>
    <s v="No"/>
    <x v="1"/>
    <d v="2014-02-17T00:00:00"/>
    <m/>
    <s v="N/A-StillEmployed"/>
    <s v="Active"/>
    <x v="0"/>
    <s v="Webster Butler"/>
    <m/>
    <x v="0"/>
    <s v="Fully Meets"/>
    <s v="4.00"/>
    <n v="4"/>
    <n v="0"/>
    <n v="43647"/>
    <n v="0"/>
    <n v="7"/>
    <n v="38"/>
    <n v="12"/>
    <s v="Actif"/>
    <s v="30-44 ans"/>
    <x v="1"/>
    <x v="0"/>
  </r>
  <r>
    <s v="Ferguson  Susan"/>
    <n v="10189"/>
    <n v="1"/>
    <n v="1"/>
    <n v="0"/>
    <n v="5"/>
    <n v="5"/>
    <n v="3"/>
    <n v="0"/>
    <n v="57748"/>
    <n v="1"/>
    <n v="19"/>
    <s v="Production Technician I"/>
    <s v="MA"/>
    <n v="2176"/>
    <d v="1955-04-14T00:00:00"/>
    <s v="F"/>
    <s v="Married"/>
    <s v="US Citizen"/>
    <s v="No"/>
    <x v="0"/>
    <d v="2011-07-11T00:00:00"/>
    <d v="2016-05-17T00:00:00"/>
    <s v="military"/>
    <s v="Voluntarily Terminated"/>
    <x v="0"/>
    <s v="Webster Butler"/>
    <n v="39"/>
    <x v="2"/>
    <s v="Fully Meets"/>
    <s v="3.13"/>
    <n v="3"/>
    <n v="0"/>
    <n v="42462"/>
    <n v="0"/>
    <n v="16"/>
    <n v="70"/>
    <n v="4"/>
    <s v="Volontaire"/>
    <s v="60 ans et plus"/>
    <x v="1"/>
    <x v="1"/>
  </r>
  <r>
    <s v="Fernandes  Nilson  "/>
    <n v="10308"/>
    <n v="1"/>
    <n v="1"/>
    <n v="1"/>
    <n v="1"/>
    <n v="5"/>
    <n v="1"/>
    <n v="0"/>
    <n v="64057"/>
    <n v="0"/>
    <n v="19"/>
    <s v="Production Technician I"/>
    <s v="MA"/>
    <n v="2132"/>
    <d v="1989-10-18T00:00:00"/>
    <s v="M "/>
    <s v="Married"/>
    <s v="US Citizen"/>
    <s v="No"/>
    <x v="0"/>
    <d v="2015-11-05T00:00:00"/>
    <m/>
    <s v="N/A-StillEmployed"/>
    <s v="Active"/>
    <x v="0"/>
    <s v="Amy Dunn"/>
    <n v="11"/>
    <x v="1"/>
    <s v="PIP"/>
    <s v="1.56"/>
    <n v="5"/>
    <n v="0"/>
    <n v="43525"/>
    <n v="6"/>
    <n v="15"/>
    <n v="36"/>
    <n v="10"/>
    <s v="Actif"/>
    <s v="30-44 ans"/>
    <x v="3"/>
    <x v="1"/>
  </r>
  <r>
    <s v="Fett  Boba"/>
    <n v="10309"/>
    <n v="0"/>
    <n v="0"/>
    <n v="1"/>
    <n v="1"/>
    <n v="3"/>
    <n v="1"/>
    <n v="0"/>
    <n v="53366"/>
    <n v="0"/>
    <n v="15"/>
    <s v="Network Engineer"/>
    <s v="MA"/>
    <n v="2138"/>
    <d v="1987-06-18T00:00:00"/>
    <s v="M "/>
    <s v="Single"/>
    <s v="US Citizen"/>
    <s v="No"/>
    <x v="0"/>
    <d v="2015-03-30T00:00:00"/>
    <m/>
    <s v="N/A-StillEmployed"/>
    <s v="Active"/>
    <x v="1"/>
    <s v="Peter Monroe"/>
    <n v="7"/>
    <x v="0"/>
    <s v="PIP"/>
    <s v="1.20"/>
    <n v="3"/>
    <n v="6"/>
    <n v="43557"/>
    <n v="3"/>
    <n v="2"/>
    <n v="38"/>
    <n v="11"/>
    <s v="Actif"/>
    <s v="30-44 ans"/>
    <x v="3"/>
    <x v="0"/>
  </r>
  <r>
    <s v="Fidelia   Libby"/>
    <n v="10049"/>
    <n v="1"/>
    <n v="1"/>
    <n v="0"/>
    <n v="1"/>
    <n v="5"/>
    <n v="3"/>
    <n v="0"/>
    <n v="58530"/>
    <n v="0"/>
    <n v="19"/>
    <s v="Production Technician I"/>
    <s v="MA"/>
    <n v="2155"/>
    <d v="1981-03-16T00:00:00"/>
    <s v="F"/>
    <s v="Married"/>
    <s v="US Citizen"/>
    <s v="No"/>
    <x v="0"/>
    <d v="2012-09-01T00:00:00"/>
    <m/>
    <s v="N/A-StillEmployed"/>
    <s v="Active"/>
    <x v="0"/>
    <s v="Brannon Miller"/>
    <n v="12"/>
    <x v="2"/>
    <s v="Fully Meets"/>
    <s v="5.00"/>
    <n v="5"/>
    <n v="0"/>
    <s v="1/29/2019"/>
    <n v="0"/>
    <n v="19"/>
    <n v="45"/>
    <n v="13"/>
    <s v="Actif"/>
    <s v="45-59 ans"/>
    <x v="1"/>
    <x v="1"/>
  </r>
  <r>
    <s v="Fitzpatrick  Michael  J"/>
    <n v="10093"/>
    <n v="0"/>
    <n v="0"/>
    <n v="1"/>
    <n v="5"/>
    <n v="5"/>
    <n v="3"/>
    <n v="0"/>
    <n v="72609"/>
    <n v="1"/>
    <n v="20"/>
    <s v="Production Technician II"/>
    <s v="MA"/>
    <n v="2143"/>
    <d v="1981-01-10T00:00:00"/>
    <s v="M "/>
    <s v="Single"/>
    <s v="US Citizen"/>
    <s v="Yes"/>
    <x v="0"/>
    <d v="2011-05-16T00:00:00"/>
    <d v="2013-06-24T00:00:00"/>
    <s v="hours"/>
    <s v="Voluntarily Terminated"/>
    <x v="0"/>
    <s v="Amy Dunn"/>
    <n v="11"/>
    <x v="2"/>
    <s v="Fully Meets"/>
    <s v="4.76"/>
    <n v="5"/>
    <n v="0"/>
    <n v="41398"/>
    <n v="0"/>
    <n v="20"/>
    <n v="45"/>
    <n v="2"/>
    <s v="Involontaire"/>
    <s v="45-59 ans"/>
    <x v="1"/>
    <x v="1"/>
  </r>
  <r>
    <s v="Foreman  Tanya"/>
    <n v="10163"/>
    <n v="1"/>
    <n v="1"/>
    <n v="0"/>
    <n v="5"/>
    <n v="5"/>
    <n v="3"/>
    <n v="0"/>
    <n v="55965"/>
    <n v="1"/>
    <n v="20"/>
    <s v="Production Technician II"/>
    <s v="MA"/>
    <n v="2170"/>
    <d v="1983-08-11T00:00:00"/>
    <s v="F"/>
    <s v="Married"/>
    <s v="US Citizen"/>
    <s v="No"/>
    <x v="0"/>
    <d v="2011-04-04T00:00:00"/>
    <d v="2013-09-01T00:00:00"/>
    <s v="career change"/>
    <s v="Voluntarily Terminated"/>
    <x v="0"/>
    <s v="Ketsia Liebig"/>
    <n v="19"/>
    <x v="2"/>
    <s v="Fully Meets"/>
    <s v="3.66"/>
    <n v="3"/>
    <n v="0"/>
    <n v="41091"/>
    <n v="0"/>
    <n v="6"/>
    <n v="42"/>
    <n v="2"/>
    <s v="Volontaire"/>
    <s v="30-44 ans"/>
    <x v="1"/>
    <x v="0"/>
  </r>
  <r>
    <s v="Forrest  Alex"/>
    <n v="10305"/>
    <n v="1"/>
    <n v="1"/>
    <n v="1"/>
    <n v="1"/>
    <n v="6"/>
    <n v="3"/>
    <n v="0"/>
    <n v="70187"/>
    <n v="1"/>
    <n v="3"/>
    <s v="Area Sales Manager"/>
    <s v="MA"/>
    <n v="2330"/>
    <d v="1975-07-07T00:00:00"/>
    <s v="M "/>
    <s v="Married"/>
    <s v="US Citizen"/>
    <s v="No"/>
    <x v="0"/>
    <d v="2014-09-29T00:00:00"/>
    <d v="2018-08-19T00:00:00"/>
    <s v="Fatal attraction"/>
    <s v="Terminated for Cause"/>
    <x v="4"/>
    <s v="Lynn Daneault"/>
    <n v="21"/>
    <x v="3"/>
    <s v="PIP"/>
    <s v="2.00"/>
    <n v="5"/>
    <n v="0"/>
    <s v="1/28/2019"/>
    <n v="4"/>
    <n v="7"/>
    <n v="50"/>
    <n v="3"/>
    <s v="Involontaire"/>
    <s v="45-59 ans"/>
    <x v="1"/>
    <x v="0"/>
  </r>
  <r>
    <s v="Foss  Jason"/>
    <n v="10015"/>
    <n v="0"/>
    <n v="0"/>
    <n v="1"/>
    <n v="1"/>
    <n v="3"/>
    <n v="4"/>
    <n v="0"/>
    <n v="178000"/>
    <n v="0"/>
    <n v="12"/>
    <s v="IT Director"/>
    <s v="MA"/>
    <n v="1460"/>
    <d v="1980-05-07T00:00:00"/>
    <s v="M "/>
    <s v="Single"/>
    <s v="US Citizen"/>
    <s v="No"/>
    <x v="1"/>
    <d v="2011-04-15T00:00:00"/>
    <m/>
    <s v="N/A-StillEmployed"/>
    <s v="Active"/>
    <x v="1"/>
    <s v="Jennifer Zamora"/>
    <n v="5"/>
    <x v="1"/>
    <s v="Exceeds"/>
    <s v="5.00"/>
    <n v="5"/>
    <n v="5"/>
    <n v="43647"/>
    <n v="0"/>
    <n v="15"/>
    <n v="45"/>
    <n v="14"/>
    <s v="Actif"/>
    <s v="45-59 ans"/>
    <x v="0"/>
    <x v="1"/>
  </r>
  <r>
    <s v="Foster-Baker  Amy"/>
    <n v="10080"/>
    <n v="1"/>
    <n v="1"/>
    <n v="0"/>
    <n v="1"/>
    <n v="1"/>
    <n v="3"/>
    <n v="0"/>
    <n v="99351"/>
    <n v="0"/>
    <n v="26"/>
    <s v="Sr. Accountant"/>
    <s v="MA"/>
    <n v="2050"/>
    <d v="1979-04-16T00:00:00"/>
    <s v="F"/>
    <s v="Married"/>
    <s v="US Citizen"/>
    <s v="No"/>
    <x v="0"/>
    <d v="2009-05-01T00:00:00"/>
    <m/>
    <s v="N/A-StillEmployed"/>
    <s v="Active"/>
    <x v="3"/>
    <s v="Board of Directors"/>
    <n v="9"/>
    <x v="8"/>
    <s v="Fully Meets"/>
    <s v="5.00"/>
    <n v="3"/>
    <n v="2"/>
    <n v="43679"/>
    <n v="0"/>
    <n v="3"/>
    <n v="46"/>
    <n v="16"/>
    <s v="Actif"/>
    <s v="45-59 ans"/>
    <x v="1"/>
    <x v="0"/>
  </r>
  <r>
    <s v="Fraval  Maruk "/>
    <n v="10258"/>
    <n v="0"/>
    <n v="0"/>
    <n v="1"/>
    <n v="1"/>
    <n v="6"/>
    <n v="3"/>
    <n v="0"/>
    <n v="67251"/>
    <n v="0"/>
    <n v="3"/>
    <s v="Area Sales Manager"/>
    <s v="CT"/>
    <n v="6050"/>
    <d v="1963-08-28T00:00:00"/>
    <s v="M "/>
    <s v="Single"/>
    <s v="US Citizen"/>
    <s v="No"/>
    <x v="1"/>
    <d v="2011-06-09T00:00:00"/>
    <m/>
    <s v="N/A-StillEmployed"/>
    <s v="Active"/>
    <x v="4"/>
    <s v="Lynn Daneault"/>
    <n v="21"/>
    <x v="6"/>
    <s v="Fully Meets"/>
    <s v="4.30"/>
    <n v="3"/>
    <n v="0"/>
    <s v="1/27/2019"/>
    <n v="2"/>
    <n v="7"/>
    <n v="62"/>
    <n v="14"/>
    <s v="Actif"/>
    <s v="60 ans et plus"/>
    <x v="1"/>
    <x v="0"/>
  </r>
  <r>
    <s v="Galia  Lisa"/>
    <n v="10273"/>
    <n v="0"/>
    <n v="0"/>
    <n v="0"/>
    <n v="1"/>
    <n v="3"/>
    <n v="3"/>
    <n v="0"/>
    <n v="65707"/>
    <n v="0"/>
    <n v="14"/>
    <s v="IT Support"/>
    <s v="CT"/>
    <n v="6040"/>
    <d v="1968-06-07T00:00:00"/>
    <s v="F"/>
    <s v="Single"/>
    <s v="US Citizen"/>
    <s v="No"/>
    <x v="0"/>
    <d v="2010-01-05T00:00:00"/>
    <m/>
    <s v="N/A-StillEmployed"/>
    <s v="Active"/>
    <x v="1"/>
    <s v="Eric Dougall"/>
    <n v="6"/>
    <x v="0"/>
    <s v="Fully Meets"/>
    <s v="4.70"/>
    <n v="4"/>
    <n v="5"/>
    <n v="43467"/>
    <n v="0"/>
    <n v="1"/>
    <n v="57"/>
    <n v="16"/>
    <s v="Actif"/>
    <s v="45-59 ans"/>
    <x v="1"/>
    <x v="0"/>
  </r>
  <r>
    <s v="Garcia  Raul"/>
    <n v="10111"/>
    <n v="0"/>
    <n v="0"/>
    <n v="1"/>
    <n v="1"/>
    <n v="5"/>
    <n v="3"/>
    <n v="0"/>
    <n v="52249"/>
    <n v="0"/>
    <n v="19"/>
    <s v="Production Technician I"/>
    <s v="MA"/>
    <n v="1905"/>
    <d v="1985-09-15T00:00:00"/>
    <s v="M "/>
    <s v="Single"/>
    <s v="US Citizen"/>
    <s v="Yes"/>
    <x v="0"/>
    <d v="2015-03-30T00:00:00"/>
    <m/>
    <s v="N/A-StillEmployed"/>
    <s v="Active"/>
    <x v="0"/>
    <s v="David Stanley"/>
    <n v="14"/>
    <x v="3"/>
    <s v="Fully Meets"/>
    <s v="4.50"/>
    <n v="3"/>
    <n v="0"/>
    <s v="2/18/2019"/>
    <n v="0"/>
    <n v="5"/>
    <n v="40"/>
    <n v="11"/>
    <s v="Actif"/>
    <s v="30-44 ans"/>
    <x v="1"/>
    <x v="0"/>
  </r>
  <r>
    <s v="Gaul  Barbara"/>
    <n v="10257"/>
    <n v="0"/>
    <n v="0"/>
    <n v="0"/>
    <n v="1"/>
    <n v="5"/>
    <n v="3"/>
    <n v="0"/>
    <n v="53171"/>
    <n v="0"/>
    <n v="19"/>
    <s v="Production Technician I"/>
    <s v="MA"/>
    <n v="2121"/>
    <d v="1983-02-12T00:00:00"/>
    <s v="F"/>
    <s v="Single"/>
    <s v="US Citizen"/>
    <s v="Yes"/>
    <x v="1"/>
    <d v="2011-05-16T00:00:00"/>
    <m/>
    <s v="N/A-StillEmployed"/>
    <s v="Active"/>
    <x v="0"/>
    <s v="Kelley Spirea"/>
    <n v="18"/>
    <x v="0"/>
    <s v="Fully Meets"/>
    <s v="4.20"/>
    <n v="4"/>
    <n v="0"/>
    <s v="2/26/2019"/>
    <n v="0"/>
    <n v="12"/>
    <n v="43"/>
    <n v="14"/>
    <s v="Actif"/>
    <s v="30-44 ans"/>
    <x v="1"/>
    <x v="1"/>
  </r>
  <r>
    <s v="Gentry  Mildred"/>
    <n v="10159"/>
    <n v="1"/>
    <n v="1"/>
    <n v="0"/>
    <n v="1"/>
    <n v="5"/>
    <n v="3"/>
    <n v="0"/>
    <n v="51337"/>
    <n v="0"/>
    <n v="19"/>
    <s v="Production Technician I"/>
    <s v="MA"/>
    <n v="2145"/>
    <d v="1990-01-10T00:00:00"/>
    <s v="F"/>
    <s v="Married"/>
    <s v="US Citizen"/>
    <s v="No"/>
    <x v="1"/>
    <d v="2015-03-30T00:00:00"/>
    <m/>
    <s v="N/A-StillEmployed"/>
    <s v="Active"/>
    <x v="0"/>
    <s v="Michael Albert"/>
    <n v="22"/>
    <x v="0"/>
    <s v="Fully Meets"/>
    <s v="3.73"/>
    <n v="3"/>
    <n v="0"/>
    <s v="1/16/2019"/>
    <n v="0"/>
    <n v="19"/>
    <n v="36"/>
    <n v="11"/>
    <s v="Actif"/>
    <s v="30-44 ans"/>
    <x v="1"/>
    <x v="1"/>
  </r>
  <r>
    <s v="Gerke  Melisa"/>
    <n v="10122"/>
    <n v="0"/>
    <n v="2"/>
    <n v="0"/>
    <n v="5"/>
    <n v="5"/>
    <n v="3"/>
    <n v="1"/>
    <n v="51505"/>
    <n v="1"/>
    <n v="19"/>
    <s v="Production Technician I"/>
    <s v="MA"/>
    <n v="2330"/>
    <d v="1970-05-15T00:00:00"/>
    <s v="F"/>
    <s v="Divorced"/>
    <s v="US Citizen"/>
    <s v="No"/>
    <x v="1"/>
    <d v="2011-07-11T00:00:00"/>
    <d v="2016-11-15T00:00:00"/>
    <s v="hours"/>
    <s v="Voluntarily Terminated"/>
    <x v="0"/>
    <s v="Elijiah Gray"/>
    <n v="16"/>
    <x v="4"/>
    <s v="Fully Meets"/>
    <s v="4.24"/>
    <n v="4"/>
    <n v="0"/>
    <s v="4/29/2016"/>
    <n v="0"/>
    <n v="2"/>
    <n v="55"/>
    <n v="5"/>
    <s v="Involontaire"/>
    <s v="45-59 ans"/>
    <x v="1"/>
    <x v="0"/>
  </r>
  <r>
    <s v="Gill  Whitney  "/>
    <n v="10142"/>
    <n v="0"/>
    <n v="4"/>
    <n v="0"/>
    <n v="4"/>
    <n v="6"/>
    <n v="3"/>
    <n v="0"/>
    <n v="59370"/>
    <n v="1"/>
    <n v="3"/>
    <s v="Area Sales Manager"/>
    <s v="OH"/>
    <n v="43050"/>
    <d v="1971-10-07T00:00:00"/>
    <s v="F"/>
    <s v="Widowed"/>
    <s v="US Citizen"/>
    <s v="No"/>
    <x v="1"/>
    <d v="2014-07-07T00:00:00"/>
    <d v="2015-05-09T00:00:00"/>
    <s v="attendance"/>
    <s v="Terminated for Cause"/>
    <x v="4"/>
    <s v="John Smith"/>
    <n v="17"/>
    <x v="6"/>
    <s v="Fully Meets"/>
    <s v="3.97"/>
    <n v="4"/>
    <n v="0"/>
    <s v="1/15/2014"/>
    <n v="0"/>
    <n v="7"/>
    <n v="54"/>
    <n v="0"/>
    <s v="Involontaire"/>
    <s v="45-59 ans"/>
    <x v="1"/>
    <x v="0"/>
  </r>
  <r>
    <s v="Gilles  Alex"/>
    <n v="10283"/>
    <n v="1"/>
    <n v="1"/>
    <n v="1"/>
    <n v="5"/>
    <n v="5"/>
    <n v="2"/>
    <n v="1"/>
    <n v="54933"/>
    <n v="1"/>
    <n v="19"/>
    <s v="Production Technician I"/>
    <s v="MA"/>
    <n v="2062"/>
    <d v="1974-09-08T00:00:00"/>
    <s v="M "/>
    <s v="Married"/>
    <s v="US Citizen"/>
    <s v="No"/>
    <x v="1"/>
    <d v="2012-02-04T00:00:00"/>
    <d v="2015-06-25T00:00:00"/>
    <s v="military"/>
    <s v="Voluntarily Terminated"/>
    <x v="0"/>
    <s v="Webster Butler"/>
    <n v="39"/>
    <x v="4"/>
    <s v="Needs Improvement"/>
    <s v="3.97"/>
    <n v="4"/>
    <n v="0"/>
    <s v="1/20/2015"/>
    <n v="3"/>
    <n v="15"/>
    <n v="51"/>
    <n v="3"/>
    <s v="Volontaire"/>
    <s v="45-59 ans"/>
    <x v="2"/>
    <x v="1"/>
  </r>
  <r>
    <s v="Girifalco  Evelyn"/>
    <n v="10018"/>
    <n v="0"/>
    <n v="0"/>
    <n v="0"/>
    <n v="1"/>
    <n v="5"/>
    <n v="4"/>
    <n v="0"/>
    <n v="57815"/>
    <n v="0"/>
    <n v="19"/>
    <s v="Production Technician I"/>
    <s v="MA"/>
    <n v="2451"/>
    <d v="1980-08-05T00:00:00"/>
    <s v="F"/>
    <s v="Single"/>
    <s v="US Citizen"/>
    <s v="Yes"/>
    <x v="2"/>
    <d v="2014-09-29T00:00:00"/>
    <m/>
    <s v="N/A-StillEmployed"/>
    <s v="Active"/>
    <x v="0"/>
    <s v="Amy Dunn"/>
    <n v="11"/>
    <x v="1"/>
    <s v="Exceeds"/>
    <s v="3.90"/>
    <n v="4"/>
    <n v="0"/>
    <n v="43648"/>
    <n v="0"/>
    <n v="3"/>
    <n v="45"/>
    <n v="11"/>
    <s v="Actif"/>
    <s v="45-59 ans"/>
    <x v="0"/>
    <x v="0"/>
  </r>
  <r>
    <s v="Givens  Myriam"/>
    <n v="10255"/>
    <n v="0"/>
    <n v="0"/>
    <n v="0"/>
    <n v="1"/>
    <n v="6"/>
    <n v="3"/>
    <n v="0"/>
    <n v="61555"/>
    <n v="0"/>
    <n v="3"/>
    <s v="Area Sales Manager"/>
    <s v="IN"/>
    <n v="46204"/>
    <d v="1989-09-22T00:00:00"/>
    <s v="F"/>
    <s v="Single"/>
    <s v="US Citizen"/>
    <s v="No"/>
    <x v="0"/>
    <d v="2015-02-16T00:00:00"/>
    <m/>
    <s v="N/A-StillEmployed"/>
    <s v="Active"/>
    <x v="4"/>
    <s v="Lynn Daneault"/>
    <n v="21"/>
    <x v="1"/>
    <s v="Fully Meets"/>
    <s v="4.50"/>
    <n v="5"/>
    <n v="0"/>
    <s v="1/25/2019"/>
    <n v="0"/>
    <n v="20"/>
    <n v="36"/>
    <n v="11"/>
    <s v="Actif"/>
    <s v="30-44 ans"/>
    <x v="1"/>
    <x v="1"/>
  </r>
  <r>
    <s v="Goble  Taisha"/>
    <n v="10246"/>
    <n v="0"/>
    <n v="0"/>
    <n v="0"/>
    <n v="4"/>
    <n v="3"/>
    <n v="3"/>
    <n v="0"/>
    <n v="114800"/>
    <n v="1"/>
    <n v="8"/>
    <s v="Database Administrator"/>
    <s v="MA"/>
    <n v="2127"/>
    <d v="1971-10-23T00:00:00"/>
    <s v="F"/>
    <s v="Single"/>
    <s v="US Citizen"/>
    <s v="No"/>
    <x v="0"/>
    <d v="2015-02-16T00:00:00"/>
    <d v="2015-03-15T00:00:00"/>
    <s v="no-call, no-show"/>
    <s v="Terminated for Cause"/>
    <x v="1"/>
    <s v="Simon Roup"/>
    <n v="4"/>
    <x v="1"/>
    <s v="Fully Meets"/>
    <s v="4.60"/>
    <n v="4"/>
    <n v="4"/>
    <s v="1/20/2015"/>
    <n v="0"/>
    <n v="10"/>
    <n v="54"/>
    <n v="0"/>
    <s v="Involontaire"/>
    <s v="45-59 ans"/>
    <x v="1"/>
    <x v="0"/>
  </r>
  <r>
    <s v="Goeth  Amon"/>
    <n v="10228"/>
    <n v="1"/>
    <n v="1"/>
    <n v="1"/>
    <n v="1"/>
    <n v="3"/>
    <n v="3"/>
    <n v="0"/>
    <n v="74679"/>
    <n v="0"/>
    <n v="14"/>
    <s v="IT Support"/>
    <s v="MA"/>
    <n v="2135"/>
    <d v="1989-11-24T00:00:00"/>
    <s v="M "/>
    <s v="Married"/>
    <s v="US Citizen"/>
    <s v="Yes"/>
    <x v="0"/>
    <d v="2015-03-30T00:00:00"/>
    <m/>
    <s v="N/A-StillEmployed"/>
    <s v="Active"/>
    <x v="1"/>
    <s v="Peter Monroe"/>
    <n v="7"/>
    <x v="0"/>
    <s v="Fully Meets"/>
    <s v="4.30"/>
    <n v="5"/>
    <n v="7"/>
    <n v="43739"/>
    <n v="0"/>
    <n v="20"/>
    <n v="36"/>
    <n v="11"/>
    <s v="Actif"/>
    <s v="30-44 ans"/>
    <x v="1"/>
    <x v="1"/>
  </r>
  <r>
    <s v="Gold  Shenice  "/>
    <n v="10243"/>
    <n v="0"/>
    <n v="0"/>
    <n v="0"/>
    <n v="1"/>
    <n v="5"/>
    <n v="3"/>
    <n v="0"/>
    <n v="53018"/>
    <n v="0"/>
    <n v="19"/>
    <s v="Production Technician I"/>
    <s v="MA"/>
    <n v="2451"/>
    <d v="1992-06-18T00:00:00"/>
    <s v="F"/>
    <s v="Single"/>
    <s v="US Citizen"/>
    <s v="Yes"/>
    <x v="0"/>
    <d v="2013-11-11T00:00:00"/>
    <m/>
    <s v="N/A-StillEmployed"/>
    <s v="Active"/>
    <x v="0"/>
    <s v="Ketsia Liebig"/>
    <n v="19"/>
    <x v="1"/>
    <s v="Fully Meets"/>
    <s v="4.30"/>
    <n v="5"/>
    <n v="0"/>
    <s v="2/18/2019"/>
    <n v="0"/>
    <n v="7"/>
    <n v="33"/>
    <n v="12"/>
    <s v="Actif"/>
    <s v="30-44 ans"/>
    <x v="1"/>
    <x v="0"/>
  </r>
  <r>
    <s v="Gonzalez  Cayo"/>
    <n v="10031"/>
    <n v="0"/>
    <n v="2"/>
    <n v="1"/>
    <n v="1"/>
    <n v="5"/>
    <n v="4"/>
    <n v="1"/>
    <n v="59892"/>
    <n v="0"/>
    <n v="19"/>
    <s v="Production Technician I"/>
    <s v="MA"/>
    <n v="2108"/>
    <d v="1969-09-29T00:00:00"/>
    <s v="M "/>
    <s v="Divorced"/>
    <s v="US Citizen"/>
    <s v="No"/>
    <x v="1"/>
    <d v="2011-11-07T00:00:00"/>
    <m/>
    <s v="N/A-StillEmployed"/>
    <s v="Active"/>
    <x v="0"/>
    <s v="Brannon Miller"/>
    <n v="12"/>
    <x v="4"/>
    <s v="Exceeds"/>
    <s v="4.50"/>
    <n v="4"/>
    <n v="0"/>
    <s v="2/18/2019"/>
    <n v="0"/>
    <n v="1"/>
    <n v="56"/>
    <n v="14"/>
    <s v="Actif"/>
    <s v="45-59 ans"/>
    <x v="0"/>
    <x v="0"/>
  </r>
  <r>
    <s v="Gonzalez  Juan"/>
    <n v="10300"/>
    <n v="1"/>
    <n v="1"/>
    <n v="1"/>
    <n v="5"/>
    <n v="5"/>
    <n v="1"/>
    <n v="1"/>
    <n v="68898"/>
    <n v="1"/>
    <n v="20"/>
    <s v="Production Technician II"/>
    <s v="MA"/>
    <n v="2128"/>
    <d v="1964-12-10T00:00:00"/>
    <s v="M "/>
    <s v="Married"/>
    <s v="US Citizen"/>
    <s v="No"/>
    <x v="1"/>
    <d v="2010-04-26T00:00:00"/>
    <d v="2011-05-30T00:00:00"/>
    <s v="career change"/>
    <s v="Voluntarily Terminated"/>
    <x v="0"/>
    <s v="Brannon Miller"/>
    <n v="12"/>
    <x v="4"/>
    <s v="PIP"/>
    <s v="3.00"/>
    <n v="3"/>
    <n v="0"/>
    <n v="40697"/>
    <n v="3"/>
    <n v="10"/>
    <n v="61"/>
    <n v="1"/>
    <s v="Volontaire"/>
    <s v="60 ans et plus"/>
    <x v="3"/>
    <x v="0"/>
  </r>
  <r>
    <s v="Gonzalez  Maria"/>
    <n v="10101"/>
    <n v="0"/>
    <n v="3"/>
    <n v="0"/>
    <n v="1"/>
    <n v="3"/>
    <n v="3"/>
    <n v="0"/>
    <n v="61242"/>
    <n v="0"/>
    <n v="14"/>
    <s v="IT Support"/>
    <s v="MA"/>
    <n v="2472"/>
    <d v="1981-04-16T00:00:00"/>
    <s v="F"/>
    <s v="Separated"/>
    <s v="US Citizen"/>
    <s v="Yes"/>
    <x v="0"/>
    <d v="2015-05-01T00:00:00"/>
    <m/>
    <s v="N/A-StillEmployed"/>
    <s v="Active"/>
    <x v="1"/>
    <s v="Peter Monroe"/>
    <n v="7"/>
    <x v="3"/>
    <s v="Fully Meets"/>
    <s v="4.61"/>
    <n v="4"/>
    <n v="5"/>
    <s v="1/28/2019"/>
    <n v="0"/>
    <n v="11"/>
    <n v="44"/>
    <n v="10"/>
    <s v="Actif"/>
    <s v="30-44 ans"/>
    <x v="1"/>
    <x v="1"/>
  </r>
  <r>
    <s v="Good  Susan"/>
    <n v="10237"/>
    <n v="1"/>
    <n v="1"/>
    <n v="0"/>
    <n v="3"/>
    <n v="5"/>
    <n v="3"/>
    <n v="0"/>
    <n v="66825"/>
    <n v="0"/>
    <n v="20"/>
    <s v="Production Technician II"/>
    <s v="MA"/>
    <n v="1886"/>
    <d v="1986-05-25T00:00:00"/>
    <s v="F"/>
    <s v="Married"/>
    <s v="US Citizen"/>
    <s v="No"/>
    <x v="0"/>
    <d v="2014-12-05T00:00:00"/>
    <m/>
    <s v="N/A-StillEmployed"/>
    <s v="Active"/>
    <x v="0"/>
    <s v="David Stanley"/>
    <n v="14"/>
    <x v="0"/>
    <s v="Fully Meets"/>
    <s v="4.60"/>
    <n v="3"/>
    <n v="0"/>
    <n v="43648"/>
    <n v="0"/>
    <n v="20"/>
    <n v="39"/>
    <n v="11"/>
    <s v="Actif"/>
    <s v="30-44 ans"/>
    <x v="1"/>
    <x v="1"/>
  </r>
  <r>
    <s v="Gordon  David"/>
    <n v="10051"/>
    <n v="1"/>
    <n v="1"/>
    <n v="1"/>
    <n v="1"/>
    <n v="5"/>
    <n v="3"/>
    <n v="0"/>
    <n v="48285"/>
    <n v="0"/>
    <n v="19"/>
    <s v="Production Technician I"/>
    <s v="MA"/>
    <n v="2169"/>
    <d v="1979-05-21T00:00:00"/>
    <s v="M "/>
    <s v="Married"/>
    <s v="US Citizen"/>
    <s v="No"/>
    <x v="0"/>
    <d v="2012-02-07T00:00:00"/>
    <m/>
    <s v="N/A-StillEmployed"/>
    <s v="Active"/>
    <x v="0"/>
    <s v="David Stanley"/>
    <n v="14"/>
    <x v="0"/>
    <s v="Fully Meets"/>
    <s v="5.00"/>
    <n v="3"/>
    <n v="0"/>
    <s v="1/14/2019"/>
    <n v="0"/>
    <n v="2"/>
    <n v="46"/>
    <n v="14"/>
    <s v="Actif"/>
    <s v="45-59 ans"/>
    <x v="1"/>
    <x v="0"/>
  </r>
  <r>
    <s v="Gosciminski  Phylicia  "/>
    <n v="10218"/>
    <n v="0"/>
    <n v="3"/>
    <n v="0"/>
    <n v="3"/>
    <n v="5"/>
    <n v="3"/>
    <n v="0"/>
    <n v="66149"/>
    <n v="0"/>
    <n v="20"/>
    <s v="Production Technician II"/>
    <s v="MA"/>
    <n v="1824"/>
    <d v="1983-08-12T00:00:00"/>
    <s v="F"/>
    <s v="Separated"/>
    <s v="US Citizen"/>
    <s v="No"/>
    <x v="4"/>
    <d v="2013-09-30T00:00:00"/>
    <m/>
    <s v="N/A-StillEmployed"/>
    <s v="Active"/>
    <x v="0"/>
    <s v="Kissy Sullivan"/>
    <n v="20"/>
    <x v="2"/>
    <s v="Fully Meets"/>
    <s v="4.40"/>
    <n v="5"/>
    <n v="0"/>
    <s v="2/21/2019"/>
    <n v="0"/>
    <n v="1"/>
    <n v="42"/>
    <n v="12"/>
    <s v="Actif"/>
    <s v="30-44 ans"/>
    <x v="1"/>
    <x v="0"/>
  </r>
  <r>
    <s v="Goyal  Roxana"/>
    <n v="10256"/>
    <n v="1"/>
    <n v="1"/>
    <n v="0"/>
    <n v="3"/>
    <n v="5"/>
    <n v="3"/>
    <n v="0"/>
    <n v="49256"/>
    <n v="0"/>
    <n v="19"/>
    <s v="Production Technician I"/>
    <s v="MA"/>
    <n v="1864"/>
    <d v="1974-09-10T00:00:00"/>
    <s v="F"/>
    <s v="Married"/>
    <s v="US Citizen"/>
    <s v="No"/>
    <x v="3"/>
    <d v="2013-08-19T00:00:00"/>
    <m/>
    <s v="N/A-StillEmployed"/>
    <s v="Active"/>
    <x v="0"/>
    <s v="Kissy Sullivan"/>
    <n v="20"/>
    <x v="0"/>
    <s v="Fully Meets"/>
    <s v="4.10"/>
    <n v="5"/>
    <n v="0"/>
    <s v="2/15/2019"/>
    <n v="0"/>
    <n v="3"/>
    <n v="51"/>
    <n v="12"/>
    <s v="Actif"/>
    <s v="45-59 ans"/>
    <x v="1"/>
    <x v="0"/>
  </r>
  <r>
    <s v="Gray  Elijiah  "/>
    <n v="10098"/>
    <n v="0"/>
    <n v="2"/>
    <n v="1"/>
    <n v="1"/>
    <n v="5"/>
    <n v="3"/>
    <n v="0"/>
    <n v="62957"/>
    <n v="0"/>
    <n v="18"/>
    <s v="Production Manager"/>
    <s v="MA"/>
    <n v="1752"/>
    <d v="1981-11-07T00:00:00"/>
    <s v="M "/>
    <s v="Divorced"/>
    <s v="US Citizen"/>
    <s v="No"/>
    <x v="0"/>
    <d v="2015-02-06T00:00:00"/>
    <m/>
    <s v="N/A-StillEmployed"/>
    <s v="Active"/>
    <x v="0"/>
    <s v="Janet King"/>
    <n v="2"/>
    <x v="3"/>
    <s v="Fully Meets"/>
    <s v="4.63"/>
    <n v="3"/>
    <n v="0"/>
    <n v="43556"/>
    <n v="0"/>
    <n v="2"/>
    <n v="44"/>
    <n v="11"/>
    <s v="Actif"/>
    <s v="30-44 ans"/>
    <x v="1"/>
    <x v="0"/>
  </r>
  <r>
    <s v="Gross  Paula"/>
    <n v="10059"/>
    <n v="0"/>
    <n v="2"/>
    <n v="0"/>
    <n v="5"/>
    <n v="5"/>
    <n v="3"/>
    <n v="0"/>
    <n v="63813"/>
    <n v="1"/>
    <n v="19"/>
    <s v="Production Technician I"/>
    <s v="MA"/>
    <n v="2176"/>
    <d v="1983-05-21T00:00:00"/>
    <s v="F"/>
    <s v="Divorced"/>
    <s v="US Citizen"/>
    <s v="No"/>
    <x v="0"/>
    <d v="2011-02-21T00:00:00"/>
    <d v="2014-11-01T00:00:00"/>
    <s v="more money"/>
    <s v="Voluntarily Terminated"/>
    <x v="0"/>
    <s v="Kelley Spirea"/>
    <n v="18"/>
    <x v="6"/>
    <s v="Fully Meets"/>
    <s v="5.00"/>
    <n v="5"/>
    <n v="0"/>
    <n v="41339"/>
    <n v="0"/>
    <n v="17"/>
    <n v="42"/>
    <n v="3"/>
    <s v="Volontaire"/>
    <s v="30-44 ans"/>
    <x v="1"/>
    <x v="1"/>
  </r>
  <r>
    <s v="Gruber  Hans"/>
    <n v="10234"/>
    <n v="1"/>
    <n v="1"/>
    <n v="1"/>
    <n v="1"/>
    <n v="3"/>
    <n v="3"/>
    <n v="0"/>
    <n v="99020"/>
    <n v="0"/>
    <n v="4"/>
    <s v="BI Developer"/>
    <s v="MA"/>
    <n v="2134"/>
    <d v="1989-06-30T00:00:00"/>
    <s v="M "/>
    <s v="Married"/>
    <s v="US Citizen"/>
    <s v="No"/>
    <x v="1"/>
    <d v="2017-04-20T00:00:00"/>
    <m/>
    <s v="N/A-StillEmployed"/>
    <s v="Active"/>
    <x v="1"/>
    <s v="Brian Champaigne"/>
    <n v="13"/>
    <x v="1"/>
    <s v="Fully Meets"/>
    <s v="4.20"/>
    <n v="5"/>
    <n v="5"/>
    <s v="1/28/2019"/>
    <n v="0"/>
    <n v="8"/>
    <n v="36"/>
    <n v="8"/>
    <s v="Actif"/>
    <s v="30-44 ans"/>
    <x v="1"/>
    <x v="0"/>
  </r>
  <r>
    <s v="Guilianno  Mike"/>
    <n v="10109"/>
    <n v="0"/>
    <n v="0"/>
    <n v="1"/>
    <n v="5"/>
    <n v="6"/>
    <n v="3"/>
    <n v="0"/>
    <n v="71707"/>
    <n v="1"/>
    <n v="3"/>
    <s v="Area Sales Manager"/>
    <s v="TN"/>
    <n v="37129"/>
    <d v="1969-09-02T00:00:00"/>
    <s v="M "/>
    <s v="Single"/>
    <s v="US Citizen"/>
    <s v="No"/>
    <x v="2"/>
    <d v="2012-07-03T00:00:00"/>
    <d v="2014-10-31T00:00:00"/>
    <s v="relocation out of area"/>
    <s v="Voluntarily Terminated"/>
    <x v="4"/>
    <s v="John Smith"/>
    <n v="17"/>
    <x v="0"/>
    <s v="Fully Meets"/>
    <s v="4.50"/>
    <n v="5"/>
    <n v="0"/>
    <n v="41276"/>
    <n v="0"/>
    <n v="20"/>
    <n v="56"/>
    <n v="2"/>
    <s v="Volontaire"/>
    <s v="45-59 ans"/>
    <x v="1"/>
    <x v="1"/>
  </r>
  <r>
    <s v="Handschiegl  Joanne"/>
    <n v="10125"/>
    <n v="1"/>
    <n v="1"/>
    <n v="0"/>
    <n v="1"/>
    <n v="5"/>
    <n v="3"/>
    <n v="0"/>
    <n v="54828"/>
    <n v="0"/>
    <n v="19"/>
    <s v="Production Technician I"/>
    <s v="MA"/>
    <n v="2127"/>
    <d v="1977-03-23T00:00:00"/>
    <s v="F"/>
    <s v="Married"/>
    <s v="US Citizen"/>
    <s v="No"/>
    <x v="0"/>
    <d v="2011-11-28T00:00:00"/>
    <m/>
    <s v="N/A-StillEmployed"/>
    <s v="Active"/>
    <x v="0"/>
    <s v="Michael Albert"/>
    <n v="22"/>
    <x v="2"/>
    <s v="Fully Meets"/>
    <s v="4.20"/>
    <n v="4"/>
    <n v="0"/>
    <s v="2/22/2019"/>
    <n v="0"/>
    <n v="13"/>
    <n v="49"/>
    <n v="14"/>
    <s v="Actif"/>
    <s v="45-59 ans"/>
    <x v="1"/>
    <x v="1"/>
  </r>
  <r>
    <s v="Hankard  Earnest"/>
    <n v="10074"/>
    <n v="0"/>
    <n v="0"/>
    <n v="1"/>
    <n v="1"/>
    <n v="5"/>
    <n v="3"/>
    <n v="0"/>
    <n v="64246"/>
    <n v="0"/>
    <n v="20"/>
    <s v="Production Technician II"/>
    <s v="MA"/>
    <n v="2155"/>
    <d v="1988-10-08T00:00:00"/>
    <s v="M "/>
    <s v="Single"/>
    <s v="US Citizen"/>
    <s v="Yes"/>
    <x v="0"/>
    <d v="2013-11-11T00:00:00"/>
    <m/>
    <s v="N/A-StillEmployed"/>
    <s v="Active"/>
    <x v="0"/>
    <s v="Kelley Spirea"/>
    <n v="18"/>
    <x v="0"/>
    <s v="Fully Meets"/>
    <s v="5.00"/>
    <n v="3"/>
    <n v="0"/>
    <n v="43678"/>
    <n v="0"/>
    <n v="20"/>
    <n v="37"/>
    <n v="12"/>
    <s v="Actif"/>
    <s v="30-44 ans"/>
    <x v="1"/>
    <x v="1"/>
  </r>
  <r>
    <s v="Harrington  Christie "/>
    <n v="10097"/>
    <n v="0"/>
    <n v="0"/>
    <n v="0"/>
    <n v="5"/>
    <n v="5"/>
    <n v="3"/>
    <n v="0"/>
    <n v="52177"/>
    <n v="1"/>
    <n v="19"/>
    <s v="Production Technician I"/>
    <s v="MA"/>
    <n v="2324"/>
    <d v="1952-08-18T00:00:00"/>
    <s v="F"/>
    <s v="Single"/>
    <s v="US Citizen"/>
    <s v="No"/>
    <x v="0"/>
    <d v="2012-09-01T00:00:00"/>
    <d v="2015-12-15T00:00:00"/>
    <s v="retiring"/>
    <s v="Voluntarily Terminated"/>
    <x v="0"/>
    <s v="Webster Butler"/>
    <n v="39"/>
    <x v="6"/>
    <s v="Fully Meets"/>
    <s v="4.64"/>
    <n v="4"/>
    <n v="0"/>
    <n v="42040"/>
    <n v="0"/>
    <n v="8"/>
    <n v="73"/>
    <n v="3"/>
    <s v="Volontaire"/>
    <s v="60 ans et plus"/>
    <x v="1"/>
    <x v="0"/>
  </r>
  <r>
    <s v="Harrison  Kara"/>
    <n v="10007"/>
    <n v="1"/>
    <n v="1"/>
    <n v="0"/>
    <n v="1"/>
    <n v="5"/>
    <n v="4"/>
    <n v="0"/>
    <n v="62065"/>
    <n v="0"/>
    <n v="19"/>
    <s v="Production Technician I"/>
    <s v="MA"/>
    <n v="1886"/>
    <d v="1974-02-05T00:00:00"/>
    <s v="F"/>
    <s v="Married"/>
    <s v="US Citizen"/>
    <s v="No"/>
    <x v="0"/>
    <d v="2014-12-05T00:00:00"/>
    <m/>
    <s v="N/A-StillEmployed"/>
    <s v="Active"/>
    <x v="0"/>
    <s v="Amy Dunn"/>
    <n v="11"/>
    <x v="6"/>
    <s v="Exceeds"/>
    <s v="4.76"/>
    <n v="4"/>
    <n v="0"/>
    <s v="2/15/2019"/>
    <n v="0"/>
    <n v="5"/>
    <n v="52"/>
    <n v="11"/>
    <s v="Actif"/>
    <s v="45-59 ans"/>
    <x v="0"/>
    <x v="0"/>
  </r>
  <r>
    <s v="Heitzman  Anthony"/>
    <n v="10129"/>
    <n v="0"/>
    <n v="0"/>
    <n v="1"/>
    <n v="1"/>
    <n v="5"/>
    <n v="3"/>
    <n v="0"/>
    <n v="46998"/>
    <n v="0"/>
    <n v="19"/>
    <s v="Production Technician I"/>
    <s v="MA"/>
    <n v="2149"/>
    <d v="1984-04-01T00:00:00"/>
    <s v="M "/>
    <s v="Single"/>
    <s v="US Citizen"/>
    <s v="No"/>
    <x v="0"/>
    <d v="2012-08-13T00:00:00"/>
    <m/>
    <s v="N/A-StillEmployed"/>
    <s v="Active"/>
    <x v="0"/>
    <s v="Ketsia Liebig"/>
    <n v="19"/>
    <x v="2"/>
    <s v="Fully Meets"/>
    <s v="4.17"/>
    <n v="4"/>
    <n v="0"/>
    <n v="43771"/>
    <n v="0"/>
    <n v="1"/>
    <n v="42"/>
    <n v="13"/>
    <s v="Actif"/>
    <s v="30-44 ans"/>
    <x v="1"/>
    <x v="0"/>
  </r>
  <r>
    <s v="Hendrickson  Trina"/>
    <n v="10075"/>
    <n v="0"/>
    <n v="0"/>
    <n v="0"/>
    <n v="5"/>
    <n v="5"/>
    <n v="3"/>
    <n v="0"/>
    <n v="68099"/>
    <n v="1"/>
    <n v="20"/>
    <s v="Production Technician II"/>
    <s v="MA"/>
    <n v="2021"/>
    <d v="1972-08-27T00:00:00"/>
    <s v="F"/>
    <s v="Single"/>
    <s v="US Citizen"/>
    <s v="No"/>
    <x v="0"/>
    <d v="2011-10-01T00:00:00"/>
    <d v="2013-06-18T00:00:00"/>
    <s v="hours"/>
    <s v="Voluntarily Terminated"/>
    <x v="0"/>
    <s v="Kelley Spirea"/>
    <n v="18"/>
    <x v="6"/>
    <s v="Fully Meets"/>
    <s v="5.00"/>
    <n v="3"/>
    <n v="0"/>
    <s v="1/30/2013"/>
    <n v="0"/>
    <n v="15"/>
    <n v="53"/>
    <n v="1"/>
    <s v="Involontaire"/>
    <s v="45-59 ans"/>
    <x v="1"/>
    <x v="1"/>
  </r>
  <r>
    <s v="Hitchcock  Alfred"/>
    <n v="10167"/>
    <n v="1"/>
    <n v="1"/>
    <n v="1"/>
    <n v="1"/>
    <n v="6"/>
    <n v="3"/>
    <n v="0"/>
    <n v="70545"/>
    <n v="0"/>
    <n v="3"/>
    <s v="Area Sales Manager"/>
    <s v="NH"/>
    <n v="3062"/>
    <d v="1988-09-14T00:00:00"/>
    <s v="M "/>
    <s v="Married"/>
    <s v="US Citizen"/>
    <s v="No"/>
    <x v="4"/>
    <d v="2014-08-18T00:00:00"/>
    <m/>
    <s v="N/A-StillEmployed"/>
    <s v="Active"/>
    <x v="4"/>
    <s v="John Smith"/>
    <n v="17"/>
    <x v="1"/>
    <s v="Fully Meets"/>
    <s v="3.60"/>
    <n v="5"/>
    <n v="0"/>
    <s v="1/30/2019"/>
    <n v="0"/>
    <n v="9"/>
    <n v="37"/>
    <n v="11"/>
    <s v="Actif"/>
    <s v="30-44 ans"/>
    <x v="1"/>
    <x v="0"/>
  </r>
  <r>
    <s v="Homberger  Adrienne  J"/>
    <n v="10195"/>
    <n v="1"/>
    <n v="1"/>
    <n v="0"/>
    <n v="5"/>
    <n v="5"/>
    <n v="3"/>
    <n v="0"/>
    <n v="63478"/>
    <n v="1"/>
    <n v="20"/>
    <s v="Production Technician II"/>
    <s v="MA"/>
    <n v="2445"/>
    <d v="1984-02-16T00:00:00"/>
    <s v="F"/>
    <s v="Married"/>
    <s v="Non-Citizen"/>
    <s v="No"/>
    <x v="0"/>
    <d v="2011-08-15T00:00:00"/>
    <d v="2012-07-04T00:00:00"/>
    <s v="relocation out of area"/>
    <s v="Voluntarily Terminated"/>
    <x v="0"/>
    <s v="Michael Albert"/>
    <n v="30"/>
    <x v="1"/>
    <s v="Fully Meets"/>
    <s v="3.03"/>
    <n v="5"/>
    <n v="0"/>
    <n v="41032"/>
    <n v="0"/>
    <n v="16"/>
    <n v="42"/>
    <n v="0"/>
    <s v="Volontaire"/>
    <s v="30-44 ans"/>
    <x v="1"/>
    <x v="1"/>
  </r>
  <r>
    <s v="Horton  Jayne"/>
    <n v="10112"/>
    <n v="0"/>
    <n v="0"/>
    <n v="0"/>
    <n v="1"/>
    <n v="3"/>
    <n v="3"/>
    <n v="0"/>
    <n v="97999"/>
    <n v="0"/>
    <n v="8"/>
    <s v="Database Administrator"/>
    <s v="MA"/>
    <n v="2493"/>
    <d v="1984-02-21T00:00:00"/>
    <s v="F"/>
    <s v="Single"/>
    <s v="US Citizen"/>
    <s v="No"/>
    <x v="0"/>
    <d v="2015-03-30T00:00:00"/>
    <m/>
    <s v="N/A-StillEmployed"/>
    <s v="Active"/>
    <x v="1"/>
    <s v="Simon Roup"/>
    <n v="4"/>
    <x v="1"/>
    <s v="Fully Meets"/>
    <s v="4.48"/>
    <n v="5"/>
    <n v="6"/>
    <n v="43525"/>
    <n v="0"/>
    <n v="4"/>
    <n v="42"/>
    <n v="11"/>
    <s v="Actif"/>
    <s v="30-44 ans"/>
    <x v="1"/>
    <x v="0"/>
  </r>
  <r>
    <s v="Houlihan  Debra"/>
    <n v="10272"/>
    <n v="1"/>
    <n v="1"/>
    <n v="0"/>
    <n v="1"/>
    <n v="6"/>
    <n v="3"/>
    <n v="0"/>
    <n v="180000"/>
    <n v="0"/>
    <n v="11"/>
    <s v="Director of Sales"/>
    <s v="RI"/>
    <n v="2908"/>
    <d v="1966-03-17T00:00:00"/>
    <s v="F"/>
    <s v="Married"/>
    <s v="US Citizen"/>
    <s v="No"/>
    <x v="0"/>
    <d v="2014-05-05T00:00:00"/>
    <m/>
    <s v="N/A-StillEmployed"/>
    <s v="Active"/>
    <x v="4"/>
    <s v="Janet King"/>
    <n v="2"/>
    <x v="0"/>
    <s v="Fully Meets"/>
    <s v="4.50"/>
    <n v="4"/>
    <n v="0"/>
    <s v="1/21/2019"/>
    <n v="0"/>
    <n v="19"/>
    <n v="60"/>
    <n v="11"/>
    <s v="Actif"/>
    <s v="60 ans et plus"/>
    <x v="1"/>
    <x v="1"/>
  </r>
  <r>
    <s v="Howard  Estelle"/>
    <n v="10182"/>
    <n v="1"/>
    <n v="1"/>
    <n v="0"/>
    <n v="1"/>
    <n v="1"/>
    <n v="3"/>
    <n v="0"/>
    <n v="49920"/>
    <n v="1"/>
    <n v="2"/>
    <s v="Administrative Assistant"/>
    <s v="MA"/>
    <n v="2170"/>
    <d v="1985-09-16T00:00:00"/>
    <s v="F"/>
    <s v="Married"/>
    <s v="US Citizen"/>
    <s v="No"/>
    <x v="1"/>
    <d v="2015-02-16T00:00:00"/>
    <d v="2015-04-15T00:00:00"/>
    <s v="no-call, no-show"/>
    <s v="Terminated for Cause"/>
    <x v="3"/>
    <s v="Brandon R. LeBlanc"/>
    <n v="1"/>
    <x v="1"/>
    <s v="Fully Meets"/>
    <s v="3.24"/>
    <n v="3"/>
    <n v="4"/>
    <s v="4/15/2015"/>
    <n v="0"/>
    <n v="6"/>
    <n v="40"/>
    <n v="0"/>
    <s v="Involontaire"/>
    <s v="30-44 ans"/>
    <x v="1"/>
    <x v="0"/>
  </r>
  <r>
    <s v="Hudson  Jane"/>
    <n v="10248"/>
    <n v="0"/>
    <n v="0"/>
    <n v="0"/>
    <n v="1"/>
    <n v="5"/>
    <n v="3"/>
    <n v="0"/>
    <n v="55425"/>
    <n v="0"/>
    <n v="19"/>
    <s v="Production Technician I"/>
    <s v="MA"/>
    <n v="2176"/>
    <d v="1986-10-06T00:00:00"/>
    <s v="F"/>
    <s v="Single"/>
    <s v="US Citizen"/>
    <s v="No"/>
    <x v="0"/>
    <d v="2012-02-20T00:00:00"/>
    <m/>
    <s v="N/A-StillEmployed"/>
    <s v="Active"/>
    <x v="0"/>
    <s v="Ketsia Liebig"/>
    <n v="19"/>
    <x v="0"/>
    <s v="Fully Meets"/>
    <s v="4.80"/>
    <n v="4"/>
    <n v="0"/>
    <n v="43647"/>
    <n v="0"/>
    <n v="4"/>
    <n v="39"/>
    <n v="14"/>
    <s v="Actif"/>
    <s v="30-44 ans"/>
    <x v="1"/>
    <x v="0"/>
  </r>
  <r>
    <s v="Hunts  Julissa"/>
    <n v="10201"/>
    <n v="0"/>
    <n v="0"/>
    <n v="0"/>
    <n v="2"/>
    <n v="5"/>
    <n v="3"/>
    <n v="0"/>
    <n v="69340"/>
    <n v="0"/>
    <n v="20"/>
    <s v="Production Technician II"/>
    <s v="MA"/>
    <n v="2021"/>
    <d v="1984-11-03T00:00:00"/>
    <s v="F"/>
    <s v="Single"/>
    <s v="US Citizen"/>
    <s v="No"/>
    <x v="0"/>
    <d v="2016-06-06T00:00:00"/>
    <m/>
    <s v="N/A-StillEmployed"/>
    <s v="Active"/>
    <x v="0"/>
    <s v="Elijiah Gray"/>
    <n v="16"/>
    <x v="0"/>
    <s v="Fully Meets"/>
    <s v="3.00"/>
    <n v="5"/>
    <n v="0"/>
    <s v="1/18/2019"/>
    <n v="0"/>
    <n v="4"/>
    <n v="41"/>
    <n v="9"/>
    <s v="Actif"/>
    <s v="30-44 ans"/>
    <x v="1"/>
    <x v="0"/>
  </r>
  <r>
    <s v="Hutter  Rosalie"/>
    <n v="10214"/>
    <n v="0"/>
    <n v="3"/>
    <n v="0"/>
    <n v="2"/>
    <n v="5"/>
    <n v="3"/>
    <n v="0"/>
    <n v="64995"/>
    <n v="0"/>
    <n v="20"/>
    <s v="Production Technician II"/>
    <s v="MA"/>
    <n v="2351"/>
    <d v="1992-07-05T00:00:00"/>
    <s v="F"/>
    <s v="Separated"/>
    <s v="US Citizen"/>
    <s v="No"/>
    <x v="0"/>
    <d v="2015-05-06T00:00:00"/>
    <m/>
    <s v="N/A-StillEmployed"/>
    <s v="Active"/>
    <x v="0"/>
    <s v="Webster Butler"/>
    <m/>
    <x v="1"/>
    <s v="Fully Meets"/>
    <s v="4.50"/>
    <n v="3"/>
    <n v="0"/>
    <s v="2/14/2019"/>
    <n v="0"/>
    <n v="6"/>
    <n v="33"/>
    <n v="10"/>
    <s v="Actif"/>
    <s v="30-44 ans"/>
    <x v="1"/>
    <x v="0"/>
  </r>
  <r>
    <s v="Huynh  Ming"/>
    <n v="10160"/>
    <n v="0"/>
    <n v="2"/>
    <n v="0"/>
    <n v="5"/>
    <n v="5"/>
    <n v="3"/>
    <n v="0"/>
    <n v="68182"/>
    <n v="1"/>
    <n v="20"/>
    <s v="Production Technician II"/>
    <s v="MA"/>
    <n v="1742"/>
    <d v="1976-09-22T00:00:00"/>
    <s v="F"/>
    <s v="Divorced"/>
    <s v="US Citizen"/>
    <s v="No"/>
    <x v="0"/>
    <d v="2011-02-21T00:00:00"/>
    <d v="2013-01-04T00:00:00"/>
    <s v="unhappy"/>
    <s v="Voluntarily Terminated"/>
    <x v="0"/>
    <s v="Amy Dunn"/>
    <n v="11"/>
    <x v="2"/>
    <s v="Fully Meets"/>
    <s v="3.72"/>
    <n v="3"/>
    <n v="0"/>
    <n v="41276"/>
    <n v="0"/>
    <n v="18"/>
    <n v="49"/>
    <n v="1"/>
    <s v="Volontaire"/>
    <s v="45-59 ans"/>
    <x v="1"/>
    <x v="1"/>
  </r>
  <r>
    <s v="Immediato  Walter"/>
    <n v="10289"/>
    <n v="1"/>
    <n v="1"/>
    <n v="1"/>
    <n v="5"/>
    <n v="5"/>
    <n v="2"/>
    <n v="0"/>
    <n v="83082"/>
    <n v="1"/>
    <n v="18"/>
    <s v="Production Manager"/>
    <s v="MA"/>
    <n v="2128"/>
    <d v="1976-11-15T00:00:00"/>
    <s v="M "/>
    <s v="Married"/>
    <s v="US Citizen"/>
    <s v="No"/>
    <x v="3"/>
    <d v="2011-02-21T00:00:00"/>
    <d v="2012-09-24T00:00:00"/>
    <s v="unhappy"/>
    <s v="Voluntarily Terminated"/>
    <x v="0"/>
    <s v="Janet King"/>
    <n v="2"/>
    <x v="1"/>
    <s v="Needs Improvement"/>
    <s v="2.34"/>
    <n v="2"/>
    <n v="0"/>
    <n v="41247"/>
    <n v="3"/>
    <n v="4"/>
    <n v="49"/>
    <n v="1"/>
    <s v="Volontaire"/>
    <s v="45-59 ans"/>
    <x v="2"/>
    <x v="0"/>
  </r>
  <r>
    <s v="Ivey  Rose "/>
    <n v="10139"/>
    <n v="0"/>
    <n v="0"/>
    <n v="0"/>
    <n v="1"/>
    <n v="5"/>
    <n v="3"/>
    <n v="0"/>
    <n v="51908"/>
    <n v="0"/>
    <n v="19"/>
    <s v="Production Technician I"/>
    <s v="MA"/>
    <n v="1775"/>
    <d v="1991-01-28T00:00:00"/>
    <s v="F"/>
    <s v="Single"/>
    <s v="US Citizen"/>
    <s v="No"/>
    <x v="0"/>
    <d v="2013-08-19T00:00:00"/>
    <m/>
    <s v="N/A-StillEmployed"/>
    <s v="Active"/>
    <x v="0"/>
    <s v="Brannon Miller"/>
    <n v="12"/>
    <x v="1"/>
    <s v="Fully Meets"/>
    <s v="3.99"/>
    <n v="3"/>
    <n v="0"/>
    <s v="1/14/2019"/>
    <n v="0"/>
    <n v="14"/>
    <n v="35"/>
    <n v="12"/>
    <s v="Actif"/>
    <s v="30-44 ans"/>
    <x v="1"/>
    <x v="1"/>
  </r>
  <r>
    <s v="Jackson  Maryellen"/>
    <n v="10227"/>
    <n v="0"/>
    <n v="0"/>
    <n v="0"/>
    <n v="1"/>
    <n v="5"/>
    <n v="3"/>
    <n v="0"/>
    <n v="61242"/>
    <n v="0"/>
    <n v="19"/>
    <s v="Production Technician I"/>
    <s v="MA"/>
    <n v="2081"/>
    <d v="1972-11-09T00:00:00"/>
    <s v="F"/>
    <s v="Single"/>
    <s v="US Citizen"/>
    <s v="No"/>
    <x v="1"/>
    <d v="2012-05-11T00:00:00"/>
    <m/>
    <s v="N/A-StillEmployed"/>
    <s v="Active"/>
    <x v="0"/>
    <s v="David Stanley"/>
    <n v="14"/>
    <x v="0"/>
    <s v="Fully Meets"/>
    <s v="4.10"/>
    <n v="3"/>
    <n v="0"/>
    <s v="1/17/2019"/>
    <n v="0"/>
    <n v="7"/>
    <n v="53"/>
    <n v="13"/>
    <s v="Actif"/>
    <s v="45-59 ans"/>
    <x v="1"/>
    <x v="0"/>
  </r>
  <r>
    <s v="Jacobi  Hannah  "/>
    <n v="10236"/>
    <n v="0"/>
    <n v="2"/>
    <n v="0"/>
    <n v="1"/>
    <n v="5"/>
    <n v="3"/>
    <n v="0"/>
    <n v="45069"/>
    <n v="0"/>
    <n v="19"/>
    <s v="Production Technician I"/>
    <s v="MA"/>
    <n v="1778"/>
    <d v="1966-03-22T00:00:00"/>
    <s v="F"/>
    <s v="Divorced"/>
    <s v="US Citizen"/>
    <s v="No"/>
    <x v="0"/>
    <d v="2013-09-30T00:00:00"/>
    <m/>
    <s v="N/A-StillEmployed"/>
    <s v="Active"/>
    <x v="0"/>
    <s v="Kissy Sullivan"/>
    <n v="20"/>
    <x v="3"/>
    <s v="Fully Meets"/>
    <s v="4.30"/>
    <n v="5"/>
    <n v="0"/>
    <s v="2/22/2019"/>
    <n v="0"/>
    <n v="7"/>
    <n v="60"/>
    <n v="12"/>
    <s v="Actif"/>
    <s v="60 ans et plus"/>
    <x v="1"/>
    <x v="0"/>
  </r>
  <r>
    <s v="Jeannite  Tayana"/>
    <n v="10009"/>
    <n v="0"/>
    <n v="2"/>
    <n v="0"/>
    <n v="1"/>
    <n v="5"/>
    <n v="4"/>
    <n v="0"/>
    <n v="60724"/>
    <n v="0"/>
    <n v="20"/>
    <s v="Production Technician II"/>
    <s v="MA"/>
    <n v="1821"/>
    <d v="1986-06-11T00:00:00"/>
    <s v="F"/>
    <s v="Divorced"/>
    <s v="US Citizen"/>
    <s v="No"/>
    <x v="4"/>
    <d v="2011-05-07T00:00:00"/>
    <m/>
    <s v="N/A-StillEmployed"/>
    <s v="Active"/>
    <x v="0"/>
    <s v="Ketsia Liebig"/>
    <n v="19"/>
    <x v="0"/>
    <s v="Exceeds"/>
    <s v="4.60"/>
    <n v="4"/>
    <n v="0"/>
    <s v="2/25/2019"/>
    <n v="0"/>
    <n v="11"/>
    <n v="39"/>
    <n v="14"/>
    <s v="Actif"/>
    <s v="30-44 ans"/>
    <x v="0"/>
    <x v="1"/>
  </r>
  <r>
    <s v="Jhaveri  Sneha  "/>
    <n v="10060"/>
    <n v="0"/>
    <n v="3"/>
    <n v="0"/>
    <n v="1"/>
    <n v="5"/>
    <n v="3"/>
    <n v="0"/>
    <n v="60436"/>
    <n v="0"/>
    <n v="19"/>
    <s v="Production Technician I"/>
    <s v="MA"/>
    <n v="2109"/>
    <d v="1964-04-13T00:00:00"/>
    <s v="F"/>
    <s v="Separated"/>
    <s v="US Citizen"/>
    <s v="No"/>
    <x v="0"/>
    <d v="2014-06-01T00:00:00"/>
    <m/>
    <s v="N/A-StillEmployed"/>
    <s v="Active"/>
    <x v="0"/>
    <s v="Kelley Spirea"/>
    <n v="18"/>
    <x v="0"/>
    <s v="Fully Meets"/>
    <s v="5.00"/>
    <n v="5"/>
    <n v="0"/>
    <s v="1/21/2019"/>
    <n v="0"/>
    <n v="9"/>
    <n v="61"/>
    <n v="11"/>
    <s v="Actif"/>
    <s v="60 ans et plus"/>
    <x v="1"/>
    <x v="0"/>
  </r>
  <r>
    <s v="Johnson  George"/>
    <n v="10034"/>
    <n v="1"/>
    <n v="1"/>
    <n v="1"/>
    <n v="5"/>
    <n v="5"/>
    <n v="4"/>
    <n v="0"/>
    <n v="46837"/>
    <n v="1"/>
    <n v="19"/>
    <s v="Production Technician I"/>
    <s v="MA"/>
    <n v="2445"/>
    <d v="1959-08-19T00:00:00"/>
    <s v="M "/>
    <s v="Married"/>
    <s v="US Citizen"/>
    <s v="No"/>
    <x v="0"/>
    <d v="2011-07-11T00:00:00"/>
    <d v="2018-04-29T00:00:00"/>
    <s v="more money"/>
    <s v="Voluntarily Terminated"/>
    <x v="0"/>
    <s v="Michael Albert"/>
    <n v="22"/>
    <x v="6"/>
    <s v="Exceeds"/>
    <s v="4.70"/>
    <n v="4"/>
    <n v="0"/>
    <s v="2/14/2018"/>
    <n v="0"/>
    <n v="9"/>
    <n v="66"/>
    <n v="6"/>
    <s v="Volontaire"/>
    <s v="60 ans et plus"/>
    <x v="0"/>
    <x v="0"/>
  </r>
  <r>
    <s v="Johnson  Noelle "/>
    <n v="10156"/>
    <n v="1"/>
    <n v="1"/>
    <n v="0"/>
    <n v="3"/>
    <n v="3"/>
    <n v="3"/>
    <n v="0"/>
    <n v="105700"/>
    <n v="0"/>
    <n v="8"/>
    <s v="Database Administrator"/>
    <s v="MA"/>
    <n v="2301"/>
    <d v="1986-07-11T00:00:00"/>
    <s v="F"/>
    <s v="Married"/>
    <s v="US Citizen"/>
    <s v="No"/>
    <x v="3"/>
    <d v="2015-05-01T00:00:00"/>
    <m/>
    <s v="N/A-StillEmployed"/>
    <s v="Active"/>
    <x v="1"/>
    <s v="Simon Roup"/>
    <n v="4"/>
    <x v="1"/>
    <s v="Fully Meets"/>
    <s v="3.75"/>
    <n v="3"/>
    <n v="5"/>
    <n v="43771"/>
    <n v="0"/>
    <n v="2"/>
    <n v="39"/>
    <n v="10"/>
    <s v="Actif"/>
    <s v="30-44 ans"/>
    <x v="1"/>
    <x v="0"/>
  </r>
  <r>
    <s v="Johnston  Yen"/>
    <n v="10036"/>
    <n v="0"/>
    <n v="0"/>
    <n v="0"/>
    <n v="1"/>
    <n v="5"/>
    <n v="4"/>
    <n v="0"/>
    <n v="63322"/>
    <n v="0"/>
    <n v="20"/>
    <s v="Production Technician II"/>
    <s v="MA"/>
    <n v="2128"/>
    <d v="1969-08-09T00:00:00"/>
    <s v="F"/>
    <s v="Single"/>
    <s v="US Citizen"/>
    <s v="No"/>
    <x v="0"/>
    <d v="2014-07-07T00:00:00"/>
    <m/>
    <s v="N/A-StillEmployed"/>
    <s v="Active"/>
    <x v="0"/>
    <s v="Brannon Miller"/>
    <n v="12"/>
    <x v="0"/>
    <s v="Exceeds"/>
    <s v="4.30"/>
    <n v="3"/>
    <n v="0"/>
    <n v="43770"/>
    <n v="0"/>
    <n v="1"/>
    <n v="56"/>
    <n v="11"/>
    <s v="Actif"/>
    <s v="45-59 ans"/>
    <x v="0"/>
    <x v="0"/>
  </r>
  <r>
    <s v="Jung  Judy  "/>
    <n v="10138"/>
    <n v="1"/>
    <n v="1"/>
    <n v="0"/>
    <n v="5"/>
    <n v="5"/>
    <n v="3"/>
    <n v="0"/>
    <n v="61154"/>
    <n v="1"/>
    <n v="19"/>
    <s v="Production Technician I"/>
    <s v="MA"/>
    <n v="2446"/>
    <d v="1986-04-17T00:00:00"/>
    <s v="F"/>
    <s v="Married"/>
    <s v="US Citizen"/>
    <s v="No"/>
    <x v="1"/>
    <d v="2011-10-01T00:00:00"/>
    <d v="2016-01-04T00:00:00"/>
    <s v="unhappy"/>
    <s v="Voluntarily Terminated"/>
    <x v="0"/>
    <s v="Elijiah Gray"/>
    <n v="16"/>
    <x v="6"/>
    <s v="Fully Meets"/>
    <s v="4.00"/>
    <n v="4"/>
    <n v="0"/>
    <n v="42431"/>
    <n v="0"/>
    <n v="4"/>
    <n v="39"/>
    <n v="4"/>
    <s v="Volontaire"/>
    <s v="30-44 ans"/>
    <x v="1"/>
    <x v="0"/>
  </r>
  <r>
    <s v="Kampew  Donysha"/>
    <n v="10244"/>
    <n v="0"/>
    <n v="0"/>
    <n v="0"/>
    <n v="5"/>
    <n v="6"/>
    <n v="3"/>
    <n v="0"/>
    <n v="68999"/>
    <n v="1"/>
    <n v="21"/>
    <s v="Sales Manager"/>
    <s v="PA"/>
    <n v="19444"/>
    <d v="1989-11-11T00:00:00"/>
    <s v="F"/>
    <s v="Single"/>
    <s v="US Citizen"/>
    <s v="No"/>
    <x v="0"/>
    <d v="2011-07-11T00:00:00"/>
    <d v="2014-04-24T00:00:00"/>
    <s v="maternity leave - did not return"/>
    <s v="Voluntarily Terminated"/>
    <x v="4"/>
    <s v="Debra Houlihan"/>
    <n v="15"/>
    <x v="2"/>
    <s v="Fully Meets"/>
    <s v="4.50"/>
    <n v="5"/>
    <n v="0"/>
    <s v="3/30/2013"/>
    <n v="0"/>
    <n v="2"/>
    <n v="36"/>
    <n v="2"/>
    <s v="Involontaire"/>
    <s v="30-44 ans"/>
    <x v="1"/>
    <x v="0"/>
  </r>
  <r>
    <s v="Keatts  Kramer "/>
    <n v="10192"/>
    <n v="0"/>
    <n v="0"/>
    <n v="1"/>
    <n v="1"/>
    <n v="5"/>
    <n v="3"/>
    <n v="0"/>
    <n v="50482"/>
    <n v="0"/>
    <n v="19"/>
    <s v="Production Technician I"/>
    <s v="MA"/>
    <n v="1887"/>
    <d v="1976-01-19T00:00:00"/>
    <s v="M "/>
    <s v="Single"/>
    <s v="US Citizen"/>
    <s v="No"/>
    <x v="0"/>
    <d v="2013-09-30T00:00:00"/>
    <m/>
    <s v="N/A-StillEmployed"/>
    <s v="Active"/>
    <x v="0"/>
    <s v="Michael Albert"/>
    <n v="22"/>
    <x v="1"/>
    <s v="Fully Meets"/>
    <s v="3.07"/>
    <n v="4"/>
    <n v="0"/>
    <s v="1/23/2019"/>
    <n v="0"/>
    <n v="10"/>
    <n v="50"/>
    <n v="12"/>
    <s v="Actif"/>
    <s v="45-59 ans"/>
    <x v="1"/>
    <x v="0"/>
  </r>
  <r>
    <s v="Khemmich  Bartholemew"/>
    <n v="10231"/>
    <n v="0"/>
    <n v="0"/>
    <n v="1"/>
    <n v="1"/>
    <n v="6"/>
    <n v="3"/>
    <n v="0"/>
    <n v="65310"/>
    <n v="0"/>
    <n v="3"/>
    <s v="Area Sales Manager"/>
    <s v="CO"/>
    <n v="80820"/>
    <d v="1979-11-27T00:00:00"/>
    <s v="M "/>
    <s v="Single"/>
    <s v="US Citizen"/>
    <s v="No"/>
    <x v="0"/>
    <d v="2013-08-19T00:00:00"/>
    <m/>
    <s v="N/A-StillEmployed"/>
    <s v="Active"/>
    <x v="4"/>
    <s v="Lynn Daneault"/>
    <n v="21"/>
    <x v="1"/>
    <s v="Fully Meets"/>
    <s v="4.30"/>
    <n v="5"/>
    <n v="0"/>
    <s v="1/22/2019"/>
    <n v="0"/>
    <n v="13"/>
    <n v="46"/>
    <n v="12"/>
    <s v="Actif"/>
    <s v="45-59 ans"/>
    <x v="1"/>
    <x v="1"/>
  </r>
  <r>
    <s v="King  Janet"/>
    <n v="10089"/>
    <n v="1"/>
    <n v="1"/>
    <n v="0"/>
    <n v="1"/>
    <n v="2"/>
    <n v="3"/>
    <n v="0"/>
    <n v="250000"/>
    <n v="0"/>
    <n v="16"/>
    <s v="President &amp; CEO"/>
    <s v="MA"/>
    <n v="1902"/>
    <d v="1954-09-21T00:00:00"/>
    <s v="F"/>
    <s v="Married"/>
    <s v="US Citizen"/>
    <s v="Yes"/>
    <x v="0"/>
    <d v="2012-02-07T00:00:00"/>
    <m/>
    <s v="N/A-StillEmployed"/>
    <s v="Active"/>
    <x v="5"/>
    <s v="Board of Directors"/>
    <n v="9"/>
    <x v="1"/>
    <s v="Fully Meets"/>
    <s v="4.83"/>
    <n v="3"/>
    <n v="0"/>
    <s v="1/17/2019"/>
    <n v="0"/>
    <n v="10"/>
    <n v="71"/>
    <n v="14"/>
    <s v="Actif"/>
    <s v="60 ans et plus"/>
    <x v="1"/>
    <x v="0"/>
  </r>
  <r>
    <s v="Kinsella  Kathleen  "/>
    <n v="10166"/>
    <n v="1"/>
    <n v="1"/>
    <n v="0"/>
    <n v="5"/>
    <n v="5"/>
    <n v="3"/>
    <n v="0"/>
    <n v="54005"/>
    <n v="1"/>
    <n v="19"/>
    <s v="Production Technician I"/>
    <s v="MA"/>
    <n v="2170"/>
    <d v="1973-08-12T00:00:00"/>
    <s v="F"/>
    <s v="Married"/>
    <s v="US Citizen"/>
    <s v="No"/>
    <x v="0"/>
    <d v="2011-09-26T00:00:00"/>
    <d v="2015-04-06T00:00:00"/>
    <s v="more money"/>
    <s v="Voluntarily Terminated"/>
    <x v="0"/>
    <s v="Webster Butler"/>
    <n v="39"/>
    <x v="2"/>
    <s v="Fully Meets"/>
    <s v="3.60"/>
    <n v="5"/>
    <n v="0"/>
    <n v="42007"/>
    <n v="0"/>
    <n v="16"/>
    <n v="52"/>
    <n v="3"/>
    <s v="Volontaire"/>
    <s v="45-59 ans"/>
    <x v="1"/>
    <x v="1"/>
  </r>
  <r>
    <s v="Kirill  Alexandra  "/>
    <n v="10170"/>
    <n v="1"/>
    <n v="1"/>
    <n v="0"/>
    <n v="5"/>
    <n v="5"/>
    <n v="3"/>
    <n v="0"/>
    <n v="45433"/>
    <n v="1"/>
    <n v="19"/>
    <s v="Production Technician I"/>
    <s v="MA"/>
    <n v="2127"/>
    <d v="1970-08-10T00:00:00"/>
    <s v="F"/>
    <s v="Married"/>
    <s v="US Citizen"/>
    <s v="No"/>
    <x v="0"/>
    <d v="2011-09-26T00:00:00"/>
    <d v="2014-09-01T00:00:00"/>
    <s v="more money"/>
    <s v="Voluntarily Terminated"/>
    <x v="0"/>
    <s v="Amy Dunn"/>
    <n v="11"/>
    <x v="2"/>
    <s v="Fully Meets"/>
    <s v="3.49"/>
    <n v="4"/>
    <n v="0"/>
    <s v="1/30/2013"/>
    <n v="0"/>
    <n v="6"/>
    <n v="55"/>
    <n v="2"/>
    <s v="Volontaire"/>
    <s v="45-59 ans"/>
    <x v="1"/>
    <x v="0"/>
  </r>
  <r>
    <s v="Knapp  Bradley  J"/>
    <n v="10208"/>
    <n v="0"/>
    <n v="0"/>
    <n v="1"/>
    <n v="1"/>
    <n v="5"/>
    <n v="3"/>
    <n v="0"/>
    <n v="46654"/>
    <n v="0"/>
    <n v="19"/>
    <s v="Production Technician I"/>
    <s v="MA"/>
    <n v="1721"/>
    <d v="1977-10-11T00:00:00"/>
    <s v="M "/>
    <s v="Single"/>
    <s v="US Citizen"/>
    <s v="No"/>
    <x v="1"/>
    <d v="2014-02-17T00:00:00"/>
    <m/>
    <s v="N/A-StillEmployed"/>
    <s v="Active"/>
    <x v="0"/>
    <s v="Ketsia Liebig"/>
    <n v="19"/>
    <x v="0"/>
    <s v="Fully Meets"/>
    <s v="3.10"/>
    <n v="3"/>
    <n v="0"/>
    <n v="43618"/>
    <n v="0"/>
    <n v="3"/>
    <n v="48"/>
    <n v="12"/>
    <s v="Actif"/>
    <s v="45-59 ans"/>
    <x v="1"/>
    <x v="0"/>
  </r>
  <r>
    <s v="Kretschmer  John"/>
    <n v="10176"/>
    <n v="1"/>
    <n v="1"/>
    <n v="1"/>
    <n v="1"/>
    <n v="5"/>
    <n v="3"/>
    <n v="0"/>
    <n v="63973"/>
    <n v="0"/>
    <n v="19"/>
    <s v="Production Technician I"/>
    <s v="MA"/>
    <n v="1801"/>
    <d v="1980-02-02T00:00:00"/>
    <s v="M "/>
    <s v="Married"/>
    <s v="US Citizen"/>
    <s v="No"/>
    <x v="3"/>
    <d v="2011-10-01T00:00:00"/>
    <m/>
    <s v="N/A-StillEmployed"/>
    <s v="Active"/>
    <x v="0"/>
    <s v="Brannon Miller"/>
    <n v="12"/>
    <x v="1"/>
    <s v="Fully Meets"/>
    <s v="3.38"/>
    <n v="3"/>
    <n v="0"/>
    <s v="1/21/2019"/>
    <n v="0"/>
    <n v="17"/>
    <n v="46"/>
    <n v="14"/>
    <s v="Actif"/>
    <s v="45-59 ans"/>
    <x v="1"/>
    <x v="1"/>
  </r>
  <r>
    <s v="Kreuger  Freddy"/>
    <n v="10165"/>
    <n v="0"/>
    <n v="0"/>
    <n v="1"/>
    <n v="1"/>
    <n v="6"/>
    <n v="3"/>
    <n v="1"/>
    <n v="71339"/>
    <n v="0"/>
    <n v="3"/>
    <s v="Area Sales Manager"/>
    <s v="NY"/>
    <n v="10171"/>
    <d v="1969-02-24T00:00:00"/>
    <s v="M "/>
    <s v="Single"/>
    <s v="US Citizen"/>
    <s v="Yes"/>
    <x v="1"/>
    <d v="2011-07-03T00:00:00"/>
    <m/>
    <s v="N/A-StillEmployed"/>
    <s v="Active"/>
    <x v="4"/>
    <s v="John Smith"/>
    <n v="17"/>
    <x v="4"/>
    <s v="Fully Meets"/>
    <s v="3.65"/>
    <n v="5"/>
    <n v="0"/>
    <s v="1/17/2019"/>
    <n v="0"/>
    <n v="20"/>
    <n v="57"/>
    <n v="14"/>
    <s v="Actif"/>
    <s v="45-59 ans"/>
    <x v="1"/>
    <x v="1"/>
  </r>
  <r>
    <s v="Lajiri   Jyoti"/>
    <n v="10113"/>
    <n v="1"/>
    <n v="1"/>
    <n v="1"/>
    <n v="3"/>
    <n v="3"/>
    <n v="3"/>
    <n v="0"/>
    <n v="93206"/>
    <n v="0"/>
    <n v="28"/>
    <s v="Sr. Network Engineer"/>
    <s v="MA"/>
    <n v="2169"/>
    <d v="1986-04-23T00:00:00"/>
    <s v="M "/>
    <s v="Married"/>
    <s v="US Citizen"/>
    <s v="No"/>
    <x v="0"/>
    <d v="2014-10-11T00:00:00"/>
    <m/>
    <s v="N/A-StillEmployed"/>
    <s v="Active"/>
    <x v="1"/>
    <s v="Peter Monroe"/>
    <n v="7"/>
    <x v="3"/>
    <s v="Fully Meets"/>
    <s v="4.46"/>
    <n v="5"/>
    <n v="6"/>
    <n v="43647"/>
    <n v="0"/>
    <n v="7"/>
    <n v="39"/>
    <n v="11"/>
    <s v="Actif"/>
    <s v="30-44 ans"/>
    <x v="1"/>
    <x v="0"/>
  </r>
  <r>
    <s v="Landa  Hans"/>
    <n v="10092"/>
    <n v="1"/>
    <n v="1"/>
    <n v="1"/>
    <n v="4"/>
    <n v="5"/>
    <n v="3"/>
    <n v="0"/>
    <n v="82758"/>
    <n v="1"/>
    <n v="18"/>
    <s v="Production Manager"/>
    <s v="MA"/>
    <n v="1890"/>
    <d v="1972-01-07T00:00:00"/>
    <s v="M "/>
    <s v="Married"/>
    <s v="US Citizen"/>
    <s v="No"/>
    <x v="0"/>
    <d v="2011-10-01T00:00:00"/>
    <d v="2015-12-12T00:00:00"/>
    <s v="attendance"/>
    <s v="Terminated for Cause"/>
    <x v="0"/>
    <s v="Janet King"/>
    <n v="2"/>
    <x v="3"/>
    <s v="Fully Meets"/>
    <s v="4.78"/>
    <n v="4"/>
    <n v="0"/>
    <s v="2/15/2015"/>
    <n v="0"/>
    <n v="9"/>
    <n v="54"/>
    <n v="4"/>
    <s v="Involontaire"/>
    <s v="45-59 ans"/>
    <x v="1"/>
    <x v="0"/>
  </r>
  <r>
    <s v="Langford  Lindsey"/>
    <n v="10106"/>
    <n v="0"/>
    <n v="2"/>
    <n v="0"/>
    <n v="5"/>
    <n v="5"/>
    <n v="3"/>
    <n v="0"/>
    <n v="66074"/>
    <n v="1"/>
    <n v="20"/>
    <s v="Production Technician II"/>
    <s v="MA"/>
    <n v="2090"/>
    <d v="1979-07-25T00:00:00"/>
    <s v="F"/>
    <s v="Divorced"/>
    <s v="US Citizen"/>
    <s v="No"/>
    <x v="3"/>
    <d v="2013-07-01T00:00:00"/>
    <d v="2014-03-31T00:00:00"/>
    <s v="Another position"/>
    <s v="Voluntarily Terminated"/>
    <x v="0"/>
    <s v="David Stanley"/>
    <n v="14"/>
    <x v="1"/>
    <s v="Fully Meets"/>
    <s v="4.52"/>
    <n v="3"/>
    <n v="0"/>
    <s v="2/20/2014"/>
    <n v="0"/>
    <n v="20"/>
    <n v="46"/>
    <n v="0"/>
    <s v="Volontaire"/>
    <s v="45-59 ans"/>
    <x v="1"/>
    <x v="1"/>
  </r>
  <r>
    <s v="Langton  Enrico"/>
    <n v="10052"/>
    <n v="1"/>
    <n v="1"/>
    <n v="1"/>
    <n v="1"/>
    <n v="5"/>
    <n v="3"/>
    <n v="0"/>
    <n v="46120"/>
    <n v="0"/>
    <n v="19"/>
    <s v="Production Technician I"/>
    <s v="MA"/>
    <n v="2048"/>
    <d v="1986-09-12T00:00:00"/>
    <s v="M "/>
    <s v="Married"/>
    <s v="US Citizen"/>
    <s v="No"/>
    <x v="0"/>
    <d v="2012-09-07T00:00:00"/>
    <m/>
    <s v="N/A-StillEmployed"/>
    <s v="Active"/>
    <x v="0"/>
    <s v="David Stanley"/>
    <n v="14"/>
    <x v="0"/>
    <s v="Fully Meets"/>
    <s v="5.00"/>
    <n v="5"/>
    <n v="0"/>
    <n v="43557"/>
    <n v="0"/>
    <n v="13"/>
    <n v="39"/>
    <n v="13"/>
    <s v="Actif"/>
    <s v="30-44 ans"/>
    <x v="1"/>
    <x v="1"/>
  </r>
  <r>
    <s v="LaRotonda  William  "/>
    <n v="10038"/>
    <n v="0"/>
    <n v="2"/>
    <n v="1"/>
    <n v="1"/>
    <n v="1"/>
    <n v="3"/>
    <n v="0"/>
    <n v="64520"/>
    <n v="0"/>
    <n v="1"/>
    <s v="Accountant I"/>
    <s v="MA"/>
    <n v="1460"/>
    <d v="1984-04-26T00:00:00"/>
    <s v="M "/>
    <s v="Divorced"/>
    <s v="US Citizen"/>
    <s v="No"/>
    <x v="1"/>
    <d v="2014-06-01T00:00:00"/>
    <m/>
    <s v="N/A-StillEmployed"/>
    <s v="Active"/>
    <x v="3"/>
    <s v="Brandon R. LeBlanc"/>
    <n v="1"/>
    <x v="7"/>
    <s v="Fully Meets"/>
    <s v="5.00"/>
    <n v="4"/>
    <n v="4"/>
    <s v="1/17/2019"/>
    <n v="0"/>
    <n v="3"/>
    <n v="41"/>
    <n v="11"/>
    <s v="Actif"/>
    <s v="30-44 ans"/>
    <x v="1"/>
    <x v="0"/>
  </r>
  <r>
    <s v="Latif  Mohammed"/>
    <n v="10249"/>
    <n v="1"/>
    <n v="1"/>
    <n v="1"/>
    <n v="5"/>
    <n v="5"/>
    <n v="3"/>
    <n v="0"/>
    <n v="61962"/>
    <n v="1"/>
    <n v="20"/>
    <s v="Production Technician II"/>
    <s v="MA"/>
    <n v="2126"/>
    <d v="1984-09-05T00:00:00"/>
    <s v="M "/>
    <s v="Married"/>
    <s v="US Citizen"/>
    <s v="No"/>
    <x v="0"/>
    <d v="2012-02-04T00:00:00"/>
    <d v="2013-04-15T00:00:00"/>
    <s v="more money"/>
    <s v="Voluntarily Terminated"/>
    <x v="0"/>
    <s v="Kissy Sullivan"/>
    <n v="20"/>
    <x v="2"/>
    <s v="Fully Meets"/>
    <s v="4.90"/>
    <n v="3"/>
    <n v="0"/>
    <s v="2/20/2013"/>
    <n v="0"/>
    <n v="20"/>
    <n v="41"/>
    <n v="1"/>
    <s v="Volontaire"/>
    <s v="30-44 ans"/>
    <x v="1"/>
    <x v="1"/>
  </r>
  <r>
    <s v="Le  Binh"/>
    <n v="10232"/>
    <n v="0"/>
    <n v="0"/>
    <n v="0"/>
    <n v="1"/>
    <n v="3"/>
    <n v="3"/>
    <n v="0"/>
    <n v="81584"/>
    <n v="0"/>
    <n v="22"/>
    <s v="Senior BI Developer"/>
    <s v="MA"/>
    <n v="1886"/>
    <d v="1987-06-14T00:00:00"/>
    <s v="F"/>
    <s v="Single"/>
    <s v="US Citizen"/>
    <s v="No"/>
    <x v="3"/>
    <d v="2016-02-10T00:00:00"/>
    <m/>
    <s v="N/A-StillEmployed"/>
    <s v="Active"/>
    <x v="1"/>
    <s v="Brian Champaigne"/>
    <n v="13"/>
    <x v="1"/>
    <s v="Fully Meets"/>
    <s v="4.10"/>
    <n v="5"/>
    <n v="7"/>
    <n v="43678"/>
    <n v="0"/>
    <n v="2"/>
    <n v="38"/>
    <n v="10"/>
    <s v="Actif"/>
    <s v="30-44 ans"/>
    <x v="1"/>
    <x v="0"/>
  </r>
  <r>
    <s v="Leach  Dallas"/>
    <n v="10087"/>
    <n v="0"/>
    <n v="0"/>
    <n v="0"/>
    <n v="5"/>
    <n v="5"/>
    <n v="3"/>
    <n v="0"/>
    <n v="63676"/>
    <n v="1"/>
    <n v="19"/>
    <s v="Production Technician I"/>
    <s v="MA"/>
    <n v="1810"/>
    <d v="1979-01-17T00:00:00"/>
    <s v="F"/>
    <s v="Single"/>
    <s v="US Citizen"/>
    <s v="No"/>
    <x v="3"/>
    <d v="2011-09-26T00:00:00"/>
    <d v="2018-08-19T00:00:00"/>
    <s v="return to school"/>
    <s v="Voluntarily Terminated"/>
    <x v="0"/>
    <s v="Kissy Sullivan"/>
    <n v="20"/>
    <x v="6"/>
    <s v="Fully Meets"/>
    <s v="4.88"/>
    <n v="3"/>
    <n v="0"/>
    <n v="42773"/>
    <n v="0"/>
    <n v="17"/>
    <n v="47"/>
    <n v="6"/>
    <s v="Volontaire"/>
    <s v="45-59 ans"/>
    <x v="1"/>
    <x v="1"/>
  </r>
  <r>
    <s v="LeBlanc  Brandon  R"/>
    <n v="10134"/>
    <n v="1"/>
    <n v="1"/>
    <n v="1"/>
    <n v="1"/>
    <n v="1"/>
    <n v="3"/>
    <n v="0"/>
    <n v="93046"/>
    <n v="0"/>
    <n v="23"/>
    <s v="Shared Services Manager"/>
    <s v="MA"/>
    <n v="1460"/>
    <d v="1984-10-06T00:00:00"/>
    <s v="M "/>
    <s v="Married"/>
    <s v="US Citizen"/>
    <s v="No"/>
    <x v="0"/>
    <d v="2016-05-01T00:00:00"/>
    <m/>
    <s v="N/A-StillEmployed"/>
    <s v="Active"/>
    <x v="3"/>
    <s v="Janet King"/>
    <n v="2"/>
    <x v="6"/>
    <s v="Fully Meets"/>
    <s v="4.10"/>
    <n v="4"/>
    <n v="0"/>
    <s v="1/28/2019"/>
    <n v="0"/>
    <n v="20"/>
    <n v="41"/>
    <n v="9"/>
    <s v="Actif"/>
    <s v="30-44 ans"/>
    <x v="1"/>
    <x v="1"/>
  </r>
  <r>
    <s v="Lecter  Hannibal"/>
    <n v="10251"/>
    <n v="1"/>
    <n v="1"/>
    <n v="1"/>
    <n v="1"/>
    <n v="5"/>
    <n v="3"/>
    <n v="0"/>
    <n v="64738"/>
    <n v="0"/>
    <n v="19"/>
    <s v="Production Technician I"/>
    <s v="MA"/>
    <n v="1776"/>
    <d v="1982-02-09T00:00:00"/>
    <s v="M "/>
    <s v="Married"/>
    <s v="US Citizen"/>
    <s v="No"/>
    <x v="3"/>
    <d v="2012-05-14T00:00:00"/>
    <m/>
    <s v="N/A-StillEmployed"/>
    <s v="Active"/>
    <x v="0"/>
    <s v="Elijiah Gray"/>
    <n v="16"/>
    <x v="2"/>
    <s v="Fully Meets"/>
    <s v="4.10"/>
    <n v="3"/>
    <n v="0"/>
    <s v="2/22/2019"/>
    <n v="0"/>
    <n v="10"/>
    <n v="44"/>
    <n v="13"/>
    <s v="Actif"/>
    <s v="30-44 ans"/>
    <x v="1"/>
    <x v="0"/>
  </r>
  <r>
    <s v="Leruth  Giovanni"/>
    <n v="10103"/>
    <n v="0"/>
    <n v="3"/>
    <n v="1"/>
    <n v="1"/>
    <n v="6"/>
    <n v="3"/>
    <n v="0"/>
    <n v="70468"/>
    <n v="0"/>
    <n v="3"/>
    <s v="Area Sales Manager"/>
    <s v="UT"/>
    <n v="84111"/>
    <d v="1988-12-27T00:00:00"/>
    <s v="M "/>
    <s v="Separated"/>
    <s v="US Citizen"/>
    <s v="No"/>
    <x v="1"/>
    <d v="2012-04-30T00:00:00"/>
    <m/>
    <s v="N/A-StillEmployed"/>
    <s v="Active"/>
    <x v="4"/>
    <s v="John Smith"/>
    <n v="17"/>
    <x v="7"/>
    <s v="Fully Meets"/>
    <s v="4.53"/>
    <n v="3"/>
    <n v="0"/>
    <s v="1/29/2019"/>
    <n v="0"/>
    <n v="16"/>
    <n v="37"/>
    <n v="13"/>
    <s v="Actif"/>
    <s v="30-44 ans"/>
    <x v="1"/>
    <x v="1"/>
  </r>
  <r>
    <s v="Liebig  Ketsia"/>
    <n v="10017"/>
    <n v="1"/>
    <n v="1"/>
    <n v="0"/>
    <n v="1"/>
    <n v="5"/>
    <n v="4"/>
    <n v="0"/>
    <n v="77915"/>
    <n v="0"/>
    <n v="18"/>
    <s v="Production Manager"/>
    <s v="MA"/>
    <n v="2110"/>
    <d v="1981-10-26T00:00:00"/>
    <s v="F"/>
    <s v="Married"/>
    <s v="US Citizen"/>
    <s v="No"/>
    <x v="0"/>
    <d v="2013-09-30T00:00:00"/>
    <m/>
    <s v="N/A-StillEmployed"/>
    <s v="Active"/>
    <x v="0"/>
    <s v="Janet King"/>
    <n v="2"/>
    <x v="7"/>
    <s v="Exceeds"/>
    <s v="4.10"/>
    <n v="3"/>
    <n v="0"/>
    <s v="1/21/2019"/>
    <n v="0"/>
    <n v="11"/>
    <n v="44"/>
    <n v="12"/>
    <s v="Actif"/>
    <s v="30-44 ans"/>
    <x v="0"/>
    <x v="1"/>
  </r>
  <r>
    <s v="Linares  Marilyn "/>
    <n v="10186"/>
    <n v="1"/>
    <n v="1"/>
    <n v="0"/>
    <n v="5"/>
    <n v="5"/>
    <n v="3"/>
    <n v="0"/>
    <n v="52624"/>
    <n v="1"/>
    <n v="19"/>
    <s v="Production Technician I"/>
    <s v="MA"/>
    <n v="1886"/>
    <d v="1981-03-26T00:00:00"/>
    <s v="F"/>
    <s v="Married"/>
    <s v="US Citizen"/>
    <s v="No"/>
    <x v="0"/>
    <d v="2011-05-07T00:00:00"/>
    <d v="2018-09-26T00:00:00"/>
    <s v="unhappy"/>
    <s v="Voluntarily Terminated"/>
    <x v="0"/>
    <s v="Michael Albert"/>
    <n v="22"/>
    <x v="1"/>
    <s v="Fully Meets"/>
    <s v="3.18"/>
    <n v="4"/>
    <n v="0"/>
    <n v="43134"/>
    <n v="0"/>
    <n v="16"/>
    <n v="45"/>
    <n v="7"/>
    <s v="Volontaire"/>
    <s v="45-59 ans"/>
    <x v="1"/>
    <x v="1"/>
  </r>
  <r>
    <s v="Linden  Mathew"/>
    <n v="10137"/>
    <n v="1"/>
    <n v="1"/>
    <n v="1"/>
    <n v="3"/>
    <n v="5"/>
    <n v="3"/>
    <n v="0"/>
    <n v="63450"/>
    <n v="0"/>
    <n v="20"/>
    <s v="Production Technician II"/>
    <s v="MA"/>
    <n v="1770"/>
    <d v="1979-03-19T00:00:00"/>
    <s v="M "/>
    <s v="Married"/>
    <s v="US Citizen"/>
    <s v="No"/>
    <x v="0"/>
    <d v="2013-08-07T00:00:00"/>
    <m/>
    <s v="N/A-StillEmployed"/>
    <s v="Active"/>
    <x v="0"/>
    <s v="Kelley Spirea"/>
    <n v="18"/>
    <x v="0"/>
    <s v="Fully Meets"/>
    <s v="4.00"/>
    <n v="3"/>
    <n v="0"/>
    <s v="2/18/2019"/>
    <n v="0"/>
    <n v="7"/>
    <n v="47"/>
    <n v="12"/>
    <s v="Actif"/>
    <s v="45-59 ans"/>
    <x v="1"/>
    <x v="0"/>
  </r>
  <r>
    <s v="Lindsay  Leonara "/>
    <n v="10008"/>
    <n v="0"/>
    <n v="0"/>
    <n v="0"/>
    <n v="1"/>
    <n v="3"/>
    <n v="4"/>
    <n v="1"/>
    <n v="51777"/>
    <n v="0"/>
    <n v="14"/>
    <s v="IT Support"/>
    <s v="CT"/>
    <n v="6070"/>
    <d v="1988-05-10T00:00:00"/>
    <s v="F"/>
    <s v="Single"/>
    <s v="US Citizen"/>
    <s v="Yes"/>
    <x v="1"/>
    <d v="2011-01-21T00:00:00"/>
    <m/>
    <s v="N/A-StillEmployed"/>
    <s v="Active"/>
    <x v="1"/>
    <s v="Eric Dougall"/>
    <n v="6"/>
    <x v="4"/>
    <s v="Exceeds"/>
    <s v="4.64"/>
    <n v="4"/>
    <n v="5"/>
    <s v="1/25/2019"/>
    <n v="0"/>
    <n v="14"/>
    <n v="37"/>
    <n v="15"/>
    <s v="Actif"/>
    <s v="30-44 ans"/>
    <x v="0"/>
    <x v="1"/>
  </r>
  <r>
    <s v="Lundy  Susan"/>
    <n v="10096"/>
    <n v="0"/>
    <n v="4"/>
    <n v="0"/>
    <n v="5"/>
    <n v="5"/>
    <n v="3"/>
    <n v="0"/>
    <n v="67237"/>
    <n v="1"/>
    <n v="20"/>
    <s v="Production Technician II"/>
    <s v="MA"/>
    <n v="2122"/>
    <d v="1976-12-26T00:00:00"/>
    <s v="F"/>
    <s v="Widowed"/>
    <s v="US Citizen"/>
    <s v="No"/>
    <x v="0"/>
    <d v="2013-08-07T00:00:00"/>
    <d v="2016-09-15T00:00:00"/>
    <s v="more money"/>
    <s v="Voluntarily Terminated"/>
    <x v="0"/>
    <s v="Michael Albert"/>
    <n v="22"/>
    <x v="0"/>
    <s v="Fully Meets"/>
    <s v="4.65"/>
    <n v="4"/>
    <n v="0"/>
    <n v="42649"/>
    <n v="0"/>
    <n v="15"/>
    <n v="49"/>
    <n v="3"/>
    <s v="Volontaire"/>
    <s v="45-59 ans"/>
    <x v="1"/>
    <x v="1"/>
  </r>
  <r>
    <s v="Lunquist  Lisa"/>
    <n v="10035"/>
    <n v="0"/>
    <n v="0"/>
    <n v="0"/>
    <n v="1"/>
    <n v="5"/>
    <n v="4"/>
    <n v="0"/>
    <n v="73330"/>
    <n v="0"/>
    <n v="20"/>
    <s v="Production Technician II"/>
    <s v="MA"/>
    <n v="2324"/>
    <d v="1982-03-28T00:00:00"/>
    <s v="F"/>
    <s v="Single"/>
    <s v="US Citizen"/>
    <s v="No"/>
    <x v="1"/>
    <d v="2013-08-19T00:00:00"/>
    <m/>
    <s v="N/A-StillEmployed"/>
    <s v="Active"/>
    <x v="0"/>
    <s v="Elijiah Gray"/>
    <n v="16"/>
    <x v="1"/>
    <s v="Exceeds"/>
    <s v="4.20"/>
    <n v="4"/>
    <n v="0"/>
    <n v="43801"/>
    <n v="0"/>
    <n v="19"/>
    <n v="44"/>
    <n v="12"/>
    <s v="Actif"/>
    <s v="30-44 ans"/>
    <x v="0"/>
    <x v="1"/>
  </r>
  <r>
    <s v="Lydon  Allison"/>
    <n v="10057"/>
    <n v="1"/>
    <n v="1"/>
    <n v="0"/>
    <n v="3"/>
    <n v="5"/>
    <n v="3"/>
    <n v="0"/>
    <n v="52057"/>
    <n v="0"/>
    <n v="19"/>
    <s v="Production Technician I"/>
    <s v="MA"/>
    <n v="2122"/>
    <d v="1975-10-22T00:00:00"/>
    <s v="F"/>
    <s v="Married"/>
    <s v="US Citizen"/>
    <s v="No"/>
    <x v="1"/>
    <d v="2015-02-16T00:00:00"/>
    <m/>
    <s v="N/A-StillEmployed"/>
    <s v="Active"/>
    <x v="0"/>
    <s v="Elijiah Gray"/>
    <n v="16"/>
    <x v="7"/>
    <s v="Fully Meets"/>
    <s v="5.00"/>
    <n v="3"/>
    <n v="0"/>
    <s v="1/23/2019"/>
    <n v="0"/>
    <n v="6"/>
    <n v="50"/>
    <n v="11"/>
    <s v="Actif"/>
    <s v="45-59 ans"/>
    <x v="1"/>
    <x v="0"/>
  </r>
  <r>
    <s v="Lynch  Lindsay"/>
    <n v="10004"/>
    <n v="0"/>
    <n v="0"/>
    <n v="0"/>
    <n v="5"/>
    <n v="5"/>
    <n v="4"/>
    <n v="1"/>
    <n v="47434"/>
    <n v="1"/>
    <n v="19"/>
    <s v="Production Technician I"/>
    <s v="MA"/>
    <n v="1844"/>
    <d v="1973-02-14T00:00:00"/>
    <s v="F"/>
    <s v="Single"/>
    <s v="US Citizen"/>
    <s v="Yes"/>
    <x v="1"/>
    <d v="2011-07-11T00:00:00"/>
    <d v="2015-11-14T00:00:00"/>
    <s v="Another position"/>
    <s v="Voluntarily Terminated"/>
    <x v="0"/>
    <s v="Webster Butler"/>
    <n v="39"/>
    <x v="4"/>
    <s v="Exceeds"/>
    <s v="5.00"/>
    <n v="4"/>
    <n v="0"/>
    <n v="42037"/>
    <n v="0"/>
    <n v="17"/>
    <n v="53"/>
    <n v="4"/>
    <s v="Volontaire"/>
    <s v="45-59 ans"/>
    <x v="0"/>
    <x v="1"/>
  </r>
  <r>
    <s v="MacLennan  Samuel"/>
    <n v="10191"/>
    <n v="0"/>
    <n v="4"/>
    <n v="1"/>
    <n v="5"/>
    <n v="5"/>
    <n v="3"/>
    <n v="0"/>
    <n v="52788"/>
    <n v="1"/>
    <n v="19"/>
    <s v="Production Technician I"/>
    <s v="MA"/>
    <n v="1938"/>
    <d v="1972-09-11T00:00:00"/>
    <s v="M "/>
    <s v="Widowed"/>
    <s v="US Citizen"/>
    <s v="No"/>
    <x v="0"/>
    <d v="2012-09-24T00:00:00"/>
    <d v="2017-09-26T00:00:00"/>
    <s v="hours"/>
    <s v="Voluntarily Terminated"/>
    <x v="0"/>
    <s v="Amy Dunn"/>
    <n v="11"/>
    <x v="1"/>
    <s v="Fully Meets"/>
    <s v="3.08"/>
    <n v="4"/>
    <n v="0"/>
    <n v="42739"/>
    <n v="0"/>
    <n v="18"/>
    <n v="53"/>
    <n v="5"/>
    <s v="Involontaire"/>
    <s v="45-59 ans"/>
    <x v="1"/>
    <x v="1"/>
  </r>
  <r>
    <s v="Mahoney  Lauren  "/>
    <n v="10219"/>
    <n v="0"/>
    <n v="0"/>
    <n v="0"/>
    <n v="1"/>
    <n v="5"/>
    <n v="3"/>
    <n v="0"/>
    <n v="45395"/>
    <n v="0"/>
    <n v="19"/>
    <s v="Production Technician I"/>
    <s v="MA"/>
    <n v="2189"/>
    <d v="1986-07-07T00:00:00"/>
    <s v="F"/>
    <s v="Single"/>
    <s v="US Citizen"/>
    <s v="No"/>
    <x v="0"/>
    <d v="2014-06-01T00:00:00"/>
    <m/>
    <s v="N/A-StillEmployed"/>
    <s v="Active"/>
    <x v="0"/>
    <s v="Ketsia Liebig"/>
    <n v="19"/>
    <x v="0"/>
    <s v="Fully Meets"/>
    <s v="4.60"/>
    <n v="4"/>
    <n v="0"/>
    <s v="2/26/2019"/>
    <n v="0"/>
    <n v="14"/>
    <n v="39"/>
    <n v="11"/>
    <s v="Actif"/>
    <s v="30-44 ans"/>
    <x v="1"/>
    <x v="1"/>
  </r>
  <r>
    <s v="Manchester  Robyn"/>
    <n v="10077"/>
    <n v="1"/>
    <n v="1"/>
    <n v="0"/>
    <n v="2"/>
    <n v="5"/>
    <n v="3"/>
    <n v="0"/>
    <n v="62385"/>
    <n v="0"/>
    <n v="20"/>
    <s v="Production Technician II"/>
    <s v="MA"/>
    <n v="2324"/>
    <d v="1976-08-25T00:00:00"/>
    <s v="F"/>
    <s v="Married"/>
    <s v="US Citizen"/>
    <s v="No"/>
    <x v="0"/>
    <d v="2016-11-05T00:00:00"/>
    <m/>
    <s v="N/A-StillEmployed"/>
    <s v="Active"/>
    <x v="0"/>
    <s v="Webster Butler"/>
    <m/>
    <x v="0"/>
    <s v="Fully Meets"/>
    <s v="5.00"/>
    <n v="3"/>
    <n v="0"/>
    <s v="1/21/2019"/>
    <n v="0"/>
    <n v="4"/>
    <n v="49"/>
    <n v="9"/>
    <s v="Actif"/>
    <s v="45-59 ans"/>
    <x v="1"/>
    <x v="0"/>
  </r>
  <r>
    <s v="Mancuso  Karen"/>
    <n v="10073"/>
    <n v="1"/>
    <n v="1"/>
    <n v="0"/>
    <n v="5"/>
    <n v="5"/>
    <n v="3"/>
    <n v="0"/>
    <n v="68407"/>
    <n v="1"/>
    <n v="20"/>
    <s v="Production Technician II"/>
    <s v="MA"/>
    <n v="2176"/>
    <d v="1986-10-12T00:00:00"/>
    <s v="F"/>
    <s v="Married"/>
    <s v="US Citizen"/>
    <s v="No"/>
    <x v="2"/>
    <d v="2011-05-07T00:00:00"/>
    <d v="2012-08-19T00:00:00"/>
    <s v="Another position"/>
    <s v="Voluntarily Terminated"/>
    <x v="0"/>
    <s v="Amy Dunn"/>
    <n v="11"/>
    <x v="0"/>
    <s v="Fully Meets"/>
    <s v="5.00"/>
    <n v="4"/>
    <n v="0"/>
    <n v="40946"/>
    <n v="0"/>
    <n v="16"/>
    <n v="39"/>
    <n v="1"/>
    <s v="Volontaire"/>
    <s v="30-44 ans"/>
    <x v="1"/>
    <x v="1"/>
  </r>
  <r>
    <s v="Mangal  Debbie"/>
    <n v="10279"/>
    <n v="1"/>
    <n v="1"/>
    <n v="0"/>
    <n v="1"/>
    <n v="5"/>
    <n v="3"/>
    <n v="0"/>
    <n v="61349"/>
    <n v="0"/>
    <n v="19"/>
    <s v="Production Technician I"/>
    <s v="MA"/>
    <n v="2451"/>
    <d v="1974-07-11T00:00:00"/>
    <s v="F"/>
    <s v="Married"/>
    <s v="US Citizen"/>
    <s v="No"/>
    <x v="0"/>
    <d v="2013-11-11T00:00:00"/>
    <m/>
    <s v="N/A-StillEmployed"/>
    <s v="Active"/>
    <x v="0"/>
    <s v="Brannon Miller"/>
    <n v="12"/>
    <x v="0"/>
    <s v="Fully Meets"/>
    <s v="4.10"/>
    <n v="3"/>
    <n v="0"/>
    <s v="1/22/2019"/>
    <n v="0"/>
    <n v="11"/>
    <n v="51"/>
    <n v="12"/>
    <s v="Actif"/>
    <s v="45-59 ans"/>
    <x v="1"/>
    <x v="1"/>
  </r>
  <r>
    <s v="Martin  Sandra"/>
    <n v="10110"/>
    <n v="0"/>
    <n v="0"/>
    <n v="0"/>
    <n v="1"/>
    <n v="4"/>
    <n v="3"/>
    <n v="0"/>
    <n v="105688"/>
    <n v="0"/>
    <n v="24"/>
    <s v="Software Engineer"/>
    <s v="MA"/>
    <n v="2135"/>
    <d v="1987-07-11T00:00:00"/>
    <s v="F"/>
    <s v="Single"/>
    <s v="US Citizen"/>
    <s v="No"/>
    <x v="3"/>
    <d v="2013-11-11T00:00:00"/>
    <m/>
    <s v="N/A-StillEmployed"/>
    <s v="Active"/>
    <x v="2"/>
    <s v="Alex Sweetwater"/>
    <n v="10"/>
    <x v="2"/>
    <s v="Fully Meets"/>
    <s v="4.50"/>
    <n v="5"/>
    <n v="4"/>
    <s v="1/14/2019"/>
    <n v="0"/>
    <n v="14"/>
    <n v="38"/>
    <n v="12"/>
    <s v="Actif"/>
    <s v="30-44 ans"/>
    <x v="1"/>
    <x v="1"/>
  </r>
  <r>
    <s v="Maurice  Shana"/>
    <n v="10053"/>
    <n v="1"/>
    <n v="1"/>
    <n v="0"/>
    <n v="1"/>
    <n v="5"/>
    <n v="3"/>
    <n v="0"/>
    <n v="54132"/>
    <n v="0"/>
    <n v="19"/>
    <s v="Production Technician I"/>
    <s v="MA"/>
    <n v="2330"/>
    <d v="1977-11-22T00:00:00"/>
    <s v="F"/>
    <s v="Married"/>
    <s v="US Citizen"/>
    <s v="No"/>
    <x v="0"/>
    <d v="2011-05-31T00:00:00"/>
    <m/>
    <s v="N/A-StillEmployed"/>
    <s v="Active"/>
    <x v="0"/>
    <s v="David Stanley"/>
    <n v="14"/>
    <x v="1"/>
    <s v="Fully Meets"/>
    <s v="5.00"/>
    <n v="4"/>
    <n v="0"/>
    <n v="43739"/>
    <n v="0"/>
    <n v="8"/>
    <n v="48"/>
    <n v="14"/>
    <s v="Actif"/>
    <s v="45-59 ans"/>
    <x v="1"/>
    <x v="0"/>
  </r>
  <r>
    <s v="Carthy  B'rigit"/>
    <n v="10076"/>
    <n v="0"/>
    <n v="0"/>
    <n v="0"/>
    <n v="1"/>
    <n v="5"/>
    <n v="3"/>
    <n v="0"/>
    <n v="55315"/>
    <n v="0"/>
    <n v="20"/>
    <s v="Production Technician II"/>
    <s v="MA"/>
    <n v="2149"/>
    <d v="1987-05-21T00:00:00"/>
    <s v="F"/>
    <s v="Single"/>
    <s v="US Citizen"/>
    <s v="No"/>
    <x v="1"/>
    <d v="2015-03-30T00:00:00"/>
    <m/>
    <s v="N/A-StillEmployed"/>
    <s v="Active"/>
    <x v="0"/>
    <s v="Ketsia Liebig"/>
    <n v="19"/>
    <x v="0"/>
    <s v="Fully Meets"/>
    <s v="5.00"/>
    <n v="5"/>
    <n v="0"/>
    <n v="43648"/>
    <n v="0"/>
    <n v="16"/>
    <n v="38"/>
    <n v="11"/>
    <s v="Actif"/>
    <s v="30-44 ans"/>
    <x v="1"/>
    <x v="1"/>
  </r>
  <r>
    <s v="Mckenna  Sandy"/>
    <n v="10145"/>
    <n v="1"/>
    <n v="1"/>
    <n v="0"/>
    <n v="1"/>
    <n v="5"/>
    <n v="3"/>
    <n v="0"/>
    <n v="62810"/>
    <n v="0"/>
    <n v="19"/>
    <s v="Production Technician I"/>
    <s v="MA"/>
    <n v="2184"/>
    <d v="1987-07-01T00:00:00"/>
    <s v="F"/>
    <s v="Married"/>
    <s v="US Citizen"/>
    <s v="No"/>
    <x v="1"/>
    <d v="2013-07-01T00:00:00"/>
    <m/>
    <s v="N/A-StillEmployed"/>
    <s v="Active"/>
    <x v="0"/>
    <s v="Kissy Sullivan"/>
    <n v="20"/>
    <x v="6"/>
    <s v="Fully Meets"/>
    <s v="3.93"/>
    <n v="3"/>
    <n v="0"/>
    <s v="1/30/2019"/>
    <n v="0"/>
    <n v="20"/>
    <n v="38"/>
    <n v="12"/>
    <s v="Actif"/>
    <s v="30-44 ans"/>
    <x v="1"/>
    <x v="1"/>
  </r>
  <r>
    <s v="McKinzie  Jac"/>
    <n v="10202"/>
    <n v="1"/>
    <n v="1"/>
    <n v="1"/>
    <n v="2"/>
    <n v="6"/>
    <n v="3"/>
    <n v="0"/>
    <n v="63291"/>
    <n v="0"/>
    <n v="3"/>
    <s v="Area Sales Manager"/>
    <s v="TX"/>
    <n v="78789"/>
    <d v="1984-01-07T00:00:00"/>
    <s v="M "/>
    <s v="Married"/>
    <s v="US Citizen"/>
    <s v="No"/>
    <x v="2"/>
    <d v="2016-06-07T00:00:00"/>
    <m/>
    <s v="N/A-StillEmployed"/>
    <s v="Active"/>
    <x v="4"/>
    <s v="Lynn Daneault"/>
    <n v="21"/>
    <x v="7"/>
    <s v="Fully Meets"/>
    <s v="3.40"/>
    <n v="4"/>
    <n v="0"/>
    <s v="1/29/2019"/>
    <n v="0"/>
    <n v="7"/>
    <n v="42"/>
    <n v="9"/>
    <s v="Actif"/>
    <s v="30-44 ans"/>
    <x v="1"/>
    <x v="0"/>
  </r>
  <r>
    <s v="Meads  Elizabeth"/>
    <n v="10128"/>
    <n v="0"/>
    <n v="0"/>
    <n v="0"/>
    <n v="5"/>
    <n v="5"/>
    <n v="3"/>
    <n v="1"/>
    <n v="62659"/>
    <n v="1"/>
    <n v="19"/>
    <s v="Production Technician I"/>
    <s v="MA"/>
    <n v="1760"/>
    <d v="1968-05-30T00:00:00"/>
    <s v="F"/>
    <s v="Single"/>
    <s v="US Citizen"/>
    <s v="No"/>
    <x v="1"/>
    <d v="2012-02-04T00:00:00"/>
    <d v="2016-11-11T00:00:00"/>
    <s v="Another position"/>
    <s v="Voluntarily Terminated"/>
    <x v="0"/>
    <s v="Kelley Spirea"/>
    <n v="18"/>
    <x v="4"/>
    <s v="Fully Meets"/>
    <s v="4.18"/>
    <n v="4"/>
    <n v="0"/>
    <n v="42492"/>
    <n v="0"/>
    <n v="17"/>
    <n v="57"/>
    <n v="4"/>
    <s v="Volontaire"/>
    <s v="45-59 ans"/>
    <x v="1"/>
    <x v="1"/>
  </r>
  <r>
    <s v="Medeiros  Jennifer"/>
    <n v="10068"/>
    <n v="0"/>
    <n v="0"/>
    <n v="0"/>
    <n v="1"/>
    <n v="5"/>
    <n v="3"/>
    <n v="0"/>
    <n v="55688"/>
    <n v="0"/>
    <n v="19"/>
    <s v="Production Technician I"/>
    <s v="MA"/>
    <n v="2346"/>
    <d v="1976-09-22T00:00:00"/>
    <s v="F"/>
    <s v="Single"/>
    <s v="US Citizen"/>
    <s v="No"/>
    <x v="0"/>
    <d v="2015-03-30T00:00:00"/>
    <m/>
    <s v="N/A-StillEmployed"/>
    <s v="Active"/>
    <x v="0"/>
    <s v="Michael Albert"/>
    <n v="22"/>
    <x v="6"/>
    <s v="Fully Meets"/>
    <s v="5.00"/>
    <n v="4"/>
    <n v="0"/>
    <s v="1/21/2019"/>
    <n v="0"/>
    <n v="10"/>
    <n v="49"/>
    <n v="11"/>
    <s v="Actif"/>
    <s v="45-59 ans"/>
    <x v="1"/>
    <x v="0"/>
  </r>
  <r>
    <s v="Miller  Brannon"/>
    <n v="10116"/>
    <n v="0"/>
    <n v="0"/>
    <n v="1"/>
    <n v="1"/>
    <n v="5"/>
    <n v="3"/>
    <n v="0"/>
    <n v="83667"/>
    <n v="0"/>
    <n v="18"/>
    <s v="Production Manager"/>
    <s v="MA"/>
    <n v="2045"/>
    <d v="1981-10-08T00:00:00"/>
    <s v="M "/>
    <s v="Single"/>
    <s v="US Citizen"/>
    <s v="Yes"/>
    <x v="5"/>
    <d v="2012-08-16T00:00:00"/>
    <m/>
    <s v="N/A-StillEmployed"/>
    <s v="Active"/>
    <x v="0"/>
    <s v="Janet King"/>
    <n v="2"/>
    <x v="1"/>
    <s v="Fully Meets"/>
    <s v="4.37"/>
    <n v="3"/>
    <n v="0"/>
    <s v="1/14/2019"/>
    <n v="0"/>
    <n v="2"/>
    <n v="44"/>
    <n v="13"/>
    <s v="Actif"/>
    <s v="30-44 ans"/>
    <x v="1"/>
    <x v="0"/>
  </r>
  <r>
    <s v="Miller  Ned"/>
    <n v="10298"/>
    <n v="0"/>
    <n v="0"/>
    <n v="1"/>
    <n v="5"/>
    <n v="5"/>
    <n v="1"/>
    <n v="0"/>
    <n v="55800"/>
    <n v="1"/>
    <n v="20"/>
    <s v="Production Technician II"/>
    <s v="MA"/>
    <n v="2472"/>
    <d v="1985-06-29T00:00:00"/>
    <s v="M "/>
    <s v="Single"/>
    <s v="US Citizen"/>
    <s v="No"/>
    <x v="0"/>
    <d v="2011-08-15T00:00:00"/>
    <d v="2014-04-09T00:00:00"/>
    <s v="unhappy"/>
    <s v="Voluntarily Terminated"/>
    <x v="0"/>
    <s v="Brannon Miller"/>
    <n v="12"/>
    <x v="0"/>
    <s v="PIP"/>
    <s v="3.00"/>
    <n v="2"/>
    <n v="0"/>
    <s v="1/14/2013"/>
    <n v="6"/>
    <n v="6"/>
    <n v="40"/>
    <n v="2"/>
    <s v="Volontaire"/>
    <s v="30-44 ans"/>
    <x v="3"/>
    <x v="0"/>
  </r>
  <r>
    <s v="Monkfish  Erasumus"/>
    <n v="10213"/>
    <n v="1"/>
    <n v="1"/>
    <n v="1"/>
    <n v="1"/>
    <n v="5"/>
    <n v="3"/>
    <n v="0"/>
    <n v="58207"/>
    <n v="0"/>
    <n v="20"/>
    <s v="Production Technician II"/>
    <s v="MA"/>
    <n v="1450"/>
    <d v="1992-08-17T00:00:00"/>
    <s v="M "/>
    <s v="Married"/>
    <s v="US Citizen"/>
    <s v="No"/>
    <x v="0"/>
    <d v="2011-07-11T00:00:00"/>
    <m/>
    <s v="N/A-StillEmployed"/>
    <s v="Active"/>
    <x v="0"/>
    <s v="David Stanley"/>
    <n v="14"/>
    <x v="0"/>
    <s v="Fully Meets"/>
    <s v="3.70"/>
    <n v="3"/>
    <n v="0"/>
    <n v="43678"/>
    <n v="0"/>
    <n v="14"/>
    <n v="33"/>
    <n v="14"/>
    <s v="Actif"/>
    <s v="30-44 ans"/>
    <x v="1"/>
    <x v="1"/>
  </r>
  <r>
    <s v="Monroe  Peter"/>
    <n v="10288"/>
    <n v="1"/>
    <n v="1"/>
    <n v="1"/>
    <n v="1"/>
    <n v="3"/>
    <n v="2"/>
    <n v="1"/>
    <n v="157000"/>
    <n v="0"/>
    <n v="13"/>
    <s v="IT Manager - Infra"/>
    <s v="MA"/>
    <n v="2134"/>
    <d v="1986-05-10T00:00:00"/>
    <s v="M "/>
    <s v="Married"/>
    <s v="Eligible NonCitizen"/>
    <s v="Yes"/>
    <x v="1"/>
    <d v="2012-02-15T00:00:00"/>
    <m/>
    <s v="N/A-StillEmployed"/>
    <s v="Active"/>
    <x v="1"/>
    <s v="Jennifer Zamora"/>
    <n v="5"/>
    <x v="4"/>
    <s v="Needs Improvement"/>
    <s v="2.39"/>
    <n v="3"/>
    <n v="6"/>
    <s v="2/22/2019"/>
    <n v="4"/>
    <n v="13"/>
    <n v="39"/>
    <n v="14"/>
    <s v="Actif"/>
    <s v="30-44 ans"/>
    <x v="2"/>
    <x v="1"/>
  </r>
  <r>
    <s v="Monterro  Luisa"/>
    <n v="10025"/>
    <n v="0"/>
    <n v="0"/>
    <n v="0"/>
    <n v="1"/>
    <n v="5"/>
    <n v="4"/>
    <n v="0"/>
    <n v="72460"/>
    <n v="0"/>
    <n v="20"/>
    <s v="Production Technician II"/>
    <s v="MA"/>
    <n v="2126"/>
    <d v="1970-04-24T00:00:00"/>
    <s v="F"/>
    <s v="Single"/>
    <s v="US Citizen"/>
    <s v="No"/>
    <x v="1"/>
    <d v="2013-05-13T00:00:00"/>
    <m/>
    <s v="N/A-StillEmployed"/>
    <s v="Active"/>
    <x v="0"/>
    <s v="Kissy Sullivan"/>
    <n v="20"/>
    <x v="1"/>
    <s v="Exceeds"/>
    <s v="4.70"/>
    <n v="3"/>
    <n v="0"/>
    <s v="1/14/2019"/>
    <n v="0"/>
    <n v="1"/>
    <n v="55"/>
    <n v="12"/>
    <s v="Actif"/>
    <s v="45-59 ans"/>
    <x v="0"/>
    <x v="0"/>
  </r>
  <r>
    <s v="Moran  Patrick"/>
    <n v="10223"/>
    <n v="0"/>
    <n v="0"/>
    <n v="1"/>
    <n v="3"/>
    <n v="5"/>
    <n v="3"/>
    <n v="1"/>
    <n v="72106"/>
    <n v="0"/>
    <n v="20"/>
    <s v="Production Technician II"/>
    <s v="MA"/>
    <n v="2127"/>
    <d v="1976-03-12T00:00:00"/>
    <s v="M "/>
    <s v="Single"/>
    <s v="US Citizen"/>
    <s v="No"/>
    <x v="1"/>
    <d v="2012-09-01T00:00:00"/>
    <m/>
    <s v="N/A-StillEmployed"/>
    <s v="Active"/>
    <x v="0"/>
    <s v="Kelley Spirea"/>
    <n v="18"/>
    <x v="4"/>
    <s v="Fully Meets"/>
    <s v="4.10"/>
    <n v="4"/>
    <n v="0"/>
    <s v="1/31/2019"/>
    <n v="0"/>
    <n v="12"/>
    <n v="50"/>
    <n v="13"/>
    <s v="Actif"/>
    <s v="45-59 ans"/>
    <x v="1"/>
    <x v="1"/>
  </r>
  <r>
    <s v="Morway  Tanya"/>
    <n v="10151"/>
    <n v="1"/>
    <n v="1"/>
    <n v="0"/>
    <n v="1"/>
    <n v="3"/>
    <n v="3"/>
    <n v="0"/>
    <n v="52599"/>
    <n v="0"/>
    <n v="15"/>
    <s v="Network Engineer"/>
    <s v="MA"/>
    <n v="2048"/>
    <d v="1979-04-04T00:00:00"/>
    <s v="F"/>
    <s v="Married"/>
    <s v="US Citizen"/>
    <s v="No"/>
    <x v="0"/>
    <d v="2015-02-16T00:00:00"/>
    <m/>
    <s v="N/A-StillEmployed"/>
    <s v="Active"/>
    <x v="1"/>
    <s v="Peter Monroe"/>
    <n v="7"/>
    <x v="6"/>
    <s v="Fully Meets"/>
    <s v="3.81"/>
    <n v="3"/>
    <n v="6"/>
    <n v="43771"/>
    <n v="0"/>
    <n v="6"/>
    <n v="47"/>
    <n v="11"/>
    <s v="Actif"/>
    <s v="45-59 ans"/>
    <x v="1"/>
    <x v="0"/>
  </r>
  <r>
    <s v="Motlagh   Dawn"/>
    <n v="10254"/>
    <n v="0"/>
    <n v="2"/>
    <n v="0"/>
    <n v="1"/>
    <n v="5"/>
    <n v="3"/>
    <n v="0"/>
    <n v="63430"/>
    <n v="0"/>
    <n v="19"/>
    <s v="Production Technician I"/>
    <s v="MA"/>
    <n v="2453"/>
    <d v="1984-07-07T00:00:00"/>
    <s v="F"/>
    <s v="Divorced"/>
    <s v="US Citizen"/>
    <s v="No"/>
    <x v="0"/>
    <d v="2013-01-04T00:00:00"/>
    <m/>
    <s v="N/A-StillEmployed"/>
    <s v="Active"/>
    <x v="0"/>
    <s v="Elijiah Gray"/>
    <n v="16"/>
    <x v="0"/>
    <s v="Fully Meets"/>
    <s v="4.40"/>
    <n v="4"/>
    <n v="0"/>
    <s v="1/17/2019"/>
    <n v="0"/>
    <n v="18"/>
    <n v="41"/>
    <n v="13"/>
    <s v="Actif"/>
    <s v="30-44 ans"/>
    <x v="1"/>
    <x v="1"/>
  </r>
  <r>
    <s v="Moumanil  Maliki "/>
    <n v="10120"/>
    <n v="0"/>
    <n v="3"/>
    <n v="1"/>
    <n v="1"/>
    <n v="5"/>
    <n v="3"/>
    <n v="0"/>
    <n v="74417"/>
    <n v="0"/>
    <n v="20"/>
    <s v="Production Technician II"/>
    <s v="MA"/>
    <n v="1460"/>
    <d v="1974-01-12T00:00:00"/>
    <s v="M "/>
    <s v="Separated"/>
    <s v="US Citizen"/>
    <s v="No"/>
    <x v="1"/>
    <d v="2013-05-13T00:00:00"/>
    <m/>
    <s v="N/A-StillEmployed"/>
    <s v="Active"/>
    <x v="0"/>
    <s v="Michael Albert"/>
    <n v="22"/>
    <x v="0"/>
    <s v="Fully Meets"/>
    <s v="4.29"/>
    <n v="5"/>
    <n v="0"/>
    <s v="1/28/2019"/>
    <n v="0"/>
    <n v="11"/>
    <n v="52"/>
    <n v="12"/>
    <s v="Actif"/>
    <s v="45-59 ans"/>
    <x v="1"/>
    <x v="1"/>
  </r>
  <r>
    <s v="Myers  Michael"/>
    <n v="10216"/>
    <n v="0"/>
    <n v="0"/>
    <n v="1"/>
    <n v="1"/>
    <n v="5"/>
    <n v="3"/>
    <n v="0"/>
    <n v="57575"/>
    <n v="0"/>
    <n v="19"/>
    <s v="Production Technician I"/>
    <s v="MA"/>
    <n v="1550"/>
    <d v="1980-04-18T00:00:00"/>
    <s v="M "/>
    <s v="Single"/>
    <s v="US Citizen"/>
    <s v="No"/>
    <x v="3"/>
    <d v="2013-08-07T00:00:00"/>
    <m/>
    <s v="N/A-StillEmployed"/>
    <s v="Active"/>
    <x v="0"/>
    <s v="Kissy Sullivan"/>
    <n v="20"/>
    <x v="0"/>
    <s v="Fully Meets"/>
    <s v="4.10"/>
    <n v="4"/>
    <n v="0"/>
    <s v="1/22/2019"/>
    <n v="0"/>
    <n v="13"/>
    <n v="45"/>
    <n v="12"/>
    <s v="Actif"/>
    <s v="45-59 ans"/>
    <x v="1"/>
    <x v="1"/>
  </r>
  <r>
    <s v="Navathe  Kurt"/>
    <n v="10079"/>
    <n v="0"/>
    <n v="0"/>
    <n v="1"/>
    <n v="1"/>
    <n v="3"/>
    <n v="3"/>
    <n v="0"/>
    <n v="87921"/>
    <n v="0"/>
    <n v="22"/>
    <s v="Senior BI Developer"/>
    <s v="MA"/>
    <n v="2056"/>
    <d v="1970-04-25T00:00:00"/>
    <s v="M "/>
    <s v="Single"/>
    <s v="US Citizen"/>
    <s v="No"/>
    <x v="3"/>
    <d v="2017-10-02T00:00:00"/>
    <m/>
    <s v="N/A-StillEmployed"/>
    <s v="Active"/>
    <x v="1"/>
    <s v="Brian Champaigne"/>
    <n v="13"/>
    <x v="1"/>
    <s v="Fully Meets"/>
    <s v="5.00"/>
    <n v="3"/>
    <n v="6"/>
    <s v="2/25/2019"/>
    <n v="0"/>
    <n v="17"/>
    <n v="55"/>
    <n v="8"/>
    <s v="Actif"/>
    <s v="45-59 ans"/>
    <x v="1"/>
    <x v="1"/>
  </r>
  <r>
    <s v="Ndzi  Colombui"/>
    <n v="10215"/>
    <n v="0"/>
    <n v="0"/>
    <n v="1"/>
    <n v="5"/>
    <n v="5"/>
    <n v="3"/>
    <n v="1"/>
    <n v="50470"/>
    <n v="1"/>
    <n v="19"/>
    <s v="Production Technician I"/>
    <s v="MA"/>
    <n v="2110"/>
    <d v="1989-02-05T00:00:00"/>
    <s v="M "/>
    <s v="Single"/>
    <s v="US Citizen"/>
    <s v="No"/>
    <x v="1"/>
    <d v="2011-09-26T00:00:00"/>
    <d v="2014-04-04T00:00:00"/>
    <s v="return to school"/>
    <s v="Voluntarily Terminated"/>
    <x v="0"/>
    <s v="Webster Butler"/>
    <n v="39"/>
    <x v="4"/>
    <s v="Fully Meets"/>
    <s v="4.30"/>
    <n v="3"/>
    <n v="0"/>
    <n v="41308"/>
    <n v="0"/>
    <n v="19"/>
    <n v="37"/>
    <n v="2"/>
    <s v="Volontaire"/>
    <s v="30-44 ans"/>
    <x v="1"/>
    <x v="1"/>
  </r>
  <r>
    <s v="Ndzi  Horia"/>
    <n v="10185"/>
    <n v="1"/>
    <n v="1"/>
    <n v="1"/>
    <n v="5"/>
    <n v="5"/>
    <n v="3"/>
    <n v="0"/>
    <n v="46664"/>
    <n v="1"/>
    <n v="19"/>
    <s v="Production Technician I"/>
    <s v="MA"/>
    <n v="2421"/>
    <d v="1983-03-28T00:00:00"/>
    <s v="M "/>
    <s v="Married"/>
    <s v="US Citizen"/>
    <s v="No"/>
    <x v="0"/>
    <d v="2013-01-04T00:00:00"/>
    <d v="2016-05-25T00:00:00"/>
    <s v="more money"/>
    <s v="Voluntarily Terminated"/>
    <x v="0"/>
    <s v="Amy Dunn"/>
    <n v="11"/>
    <x v="3"/>
    <s v="Fully Meets"/>
    <s v="3.18"/>
    <n v="3"/>
    <n v="0"/>
    <n v="42524"/>
    <n v="0"/>
    <n v="10"/>
    <n v="43"/>
    <n v="3"/>
    <s v="Volontaire"/>
    <s v="30-44 ans"/>
    <x v="1"/>
    <x v="0"/>
  </r>
  <r>
    <s v="Newman  Richard "/>
    <n v="10063"/>
    <n v="1"/>
    <n v="1"/>
    <n v="1"/>
    <n v="3"/>
    <n v="5"/>
    <n v="3"/>
    <n v="0"/>
    <n v="48495"/>
    <n v="0"/>
    <n v="19"/>
    <s v="Production Technician I"/>
    <s v="MA"/>
    <n v="2136"/>
    <d v="1977-08-04T00:00:00"/>
    <s v="M "/>
    <s v="Married"/>
    <s v="US Citizen"/>
    <s v="No"/>
    <x v="0"/>
    <d v="2014-12-05T00:00:00"/>
    <m/>
    <s v="N/A-StillEmployed"/>
    <s v="Active"/>
    <x v="0"/>
    <s v="Ketsia Liebig"/>
    <n v="19"/>
    <x v="0"/>
    <s v="Fully Meets"/>
    <s v="5.00"/>
    <n v="5"/>
    <n v="0"/>
    <s v="2/18/2019"/>
    <n v="0"/>
    <n v="11"/>
    <n v="48"/>
    <n v="11"/>
    <s v="Actif"/>
    <s v="45-59 ans"/>
    <x v="1"/>
    <x v="1"/>
  </r>
  <r>
    <s v="Ngodup  Shari "/>
    <n v="10037"/>
    <n v="0"/>
    <n v="3"/>
    <n v="0"/>
    <n v="1"/>
    <n v="5"/>
    <n v="4"/>
    <n v="1"/>
    <n v="52984"/>
    <n v="0"/>
    <n v="19"/>
    <s v="Production Technician I"/>
    <s v="MA"/>
    <n v="1810"/>
    <d v="1967-03-06T00:00:00"/>
    <s v="F"/>
    <s v="Separated"/>
    <s v="US Citizen"/>
    <s v="No"/>
    <x v="1"/>
    <d v="2013-01-04T00:00:00"/>
    <m/>
    <s v="N/A-StillEmployed"/>
    <s v="Active"/>
    <x v="0"/>
    <s v="Brannon Miller"/>
    <n v="12"/>
    <x v="4"/>
    <s v="Exceeds"/>
    <s v="4.00"/>
    <n v="3"/>
    <n v="0"/>
    <s v="2/13/2019"/>
    <n v="0"/>
    <n v="12"/>
    <n v="59"/>
    <n v="13"/>
    <s v="Actif"/>
    <s v="45-59 ans"/>
    <x v="0"/>
    <x v="1"/>
  </r>
  <r>
    <s v="Nguyen  Dheepa"/>
    <n v="10042"/>
    <n v="0"/>
    <n v="0"/>
    <n v="0"/>
    <n v="1"/>
    <n v="6"/>
    <n v="3"/>
    <n v="0"/>
    <n v="63695"/>
    <n v="0"/>
    <n v="3"/>
    <s v="Area Sales Manager"/>
    <s v="GA"/>
    <n v="30428"/>
    <d v="1989-03-31T00:00:00"/>
    <s v="F"/>
    <s v="Single"/>
    <s v="US Citizen"/>
    <s v="No"/>
    <x v="2"/>
    <d v="2013-08-07T00:00:00"/>
    <m/>
    <s v="N/A-StillEmployed"/>
    <s v="Active"/>
    <x v="4"/>
    <s v="Lynn Daneault"/>
    <n v="21"/>
    <x v="1"/>
    <s v="Fully Meets"/>
    <s v="5.00"/>
    <n v="5"/>
    <n v="0"/>
    <s v="1/25/2019"/>
    <n v="0"/>
    <n v="2"/>
    <n v="37"/>
    <n v="12"/>
    <s v="Actif"/>
    <s v="30-44 ans"/>
    <x v="1"/>
    <x v="0"/>
  </r>
  <r>
    <s v="Nguyen  Lei-Ming"/>
    <n v="10206"/>
    <n v="0"/>
    <n v="0"/>
    <n v="0"/>
    <n v="1"/>
    <n v="5"/>
    <n v="3"/>
    <n v="0"/>
    <n v="62061"/>
    <n v="0"/>
    <n v="19"/>
    <s v="Production Technician I"/>
    <s v="MA"/>
    <n v="2132"/>
    <d v="1984-07-07T00:00:00"/>
    <s v="F"/>
    <s v="Single"/>
    <s v="US Citizen"/>
    <s v="No"/>
    <x v="0"/>
    <d v="2013-08-07T00:00:00"/>
    <m/>
    <s v="N/A-StillEmployed"/>
    <s v="Active"/>
    <x v="0"/>
    <s v="David Stanley"/>
    <n v="14"/>
    <x v="0"/>
    <s v="Fully Meets"/>
    <s v="3.60"/>
    <n v="5"/>
    <n v="0"/>
    <n v="43497"/>
    <n v="0"/>
    <n v="4"/>
    <n v="41"/>
    <n v="12"/>
    <s v="Actif"/>
    <s v="30-44 ans"/>
    <x v="1"/>
    <x v="0"/>
  </r>
  <r>
    <s v="Nowlan  Kristie"/>
    <n v="10104"/>
    <n v="0"/>
    <n v="0"/>
    <n v="0"/>
    <n v="1"/>
    <n v="5"/>
    <n v="3"/>
    <n v="0"/>
    <n v="66738"/>
    <n v="0"/>
    <n v="20"/>
    <s v="Production Technician II"/>
    <s v="MA"/>
    <n v="1040"/>
    <d v="1985-11-23T00:00:00"/>
    <s v="F"/>
    <s v="Single"/>
    <s v="US Citizen"/>
    <s v="No"/>
    <x v="0"/>
    <d v="2014-10-11T00:00:00"/>
    <m/>
    <s v="N/A-StillEmployed"/>
    <s v="Active"/>
    <x v="0"/>
    <s v="Elijiah Gray"/>
    <n v="16"/>
    <x v="1"/>
    <s v="Fully Meets"/>
    <s v="4.53"/>
    <n v="5"/>
    <n v="0"/>
    <s v="1/16/2019"/>
    <n v="0"/>
    <n v="5"/>
    <n v="40"/>
    <n v="11"/>
    <s v="Actif"/>
    <s v="30-44 ans"/>
    <x v="1"/>
    <x v="0"/>
  </r>
  <r>
    <s v="O'hare  Lynn"/>
    <n v="10303"/>
    <n v="0"/>
    <n v="0"/>
    <n v="0"/>
    <n v="4"/>
    <n v="5"/>
    <n v="1"/>
    <n v="0"/>
    <n v="52674"/>
    <n v="1"/>
    <n v="19"/>
    <s v="Production Technician I"/>
    <s v="MA"/>
    <n v="2152"/>
    <d v="1980-09-30T00:00:00"/>
    <s v="F"/>
    <s v="Single"/>
    <s v="US Citizen"/>
    <s v="No"/>
    <x v="2"/>
    <d v="2014-03-31T00:00:00"/>
    <d v="2018-01-05T00:00:00"/>
    <s v="performance"/>
    <s v="Terminated for Cause"/>
    <x v="0"/>
    <s v="Kissy Sullivan"/>
    <n v="20"/>
    <x v="0"/>
    <s v="PIP"/>
    <s v="2.33"/>
    <n v="2"/>
    <n v="0"/>
    <n v="43346"/>
    <n v="6"/>
    <n v="3"/>
    <n v="45"/>
    <n v="3"/>
    <s v="Involontaire"/>
    <s v="45-59 ans"/>
    <x v="3"/>
    <x v="0"/>
  </r>
  <r>
    <s v="Oliver  Brooke "/>
    <n v="10078"/>
    <n v="1"/>
    <n v="1"/>
    <n v="0"/>
    <n v="5"/>
    <n v="5"/>
    <n v="3"/>
    <n v="0"/>
    <n v="71966"/>
    <n v="1"/>
    <n v="20"/>
    <s v="Production Technician II"/>
    <s v="MA"/>
    <n v="2492"/>
    <d v="1952-11-02T00:00:00"/>
    <s v="F"/>
    <s v="Married"/>
    <s v="US Citizen"/>
    <s v="No"/>
    <x v="3"/>
    <d v="2012-05-14T00:00:00"/>
    <d v="2013-08-19T00:00:00"/>
    <s v="unhappy"/>
    <s v="Voluntarily Terminated"/>
    <x v="0"/>
    <s v="Webster Butler"/>
    <n v="39"/>
    <x v="0"/>
    <s v="Fully Meets"/>
    <s v="5.00"/>
    <n v="3"/>
    <n v="0"/>
    <n v="41312"/>
    <n v="0"/>
    <n v="17"/>
    <n v="73"/>
    <n v="1"/>
    <s v="Volontaire"/>
    <s v="60 ans et plus"/>
    <x v="1"/>
    <x v="1"/>
  </r>
  <r>
    <s v="Onque  Jasmine"/>
    <n v="10121"/>
    <n v="0"/>
    <n v="0"/>
    <n v="0"/>
    <n v="1"/>
    <n v="6"/>
    <n v="3"/>
    <n v="0"/>
    <n v="63051"/>
    <n v="0"/>
    <n v="3"/>
    <s v="Area Sales Manager"/>
    <s v="FL"/>
    <n v="33174"/>
    <d v="1990-11-05T00:00:00"/>
    <s v="F"/>
    <s v="Single"/>
    <s v="US Citizen"/>
    <s v="Yes"/>
    <x v="0"/>
    <d v="2013-09-30T00:00:00"/>
    <m/>
    <s v="N/A-StillEmployed"/>
    <s v="Active"/>
    <x v="4"/>
    <s v="Lynn Daneault"/>
    <n v="21"/>
    <x v="1"/>
    <s v="Fully Meets"/>
    <s v="4.28"/>
    <n v="3"/>
    <n v="0"/>
    <s v="1/25/2019"/>
    <n v="0"/>
    <n v="1"/>
    <n v="35"/>
    <n v="12"/>
    <s v="Actif"/>
    <s v="30-44 ans"/>
    <x v="1"/>
    <x v="0"/>
  </r>
  <r>
    <s v="Osturnka  Adeel"/>
    <n v="10021"/>
    <n v="1"/>
    <n v="1"/>
    <n v="1"/>
    <n v="1"/>
    <n v="5"/>
    <n v="4"/>
    <n v="0"/>
    <n v="47414"/>
    <n v="0"/>
    <n v="19"/>
    <s v="Production Technician I"/>
    <s v="MA"/>
    <n v="2478"/>
    <d v="1976-11-12T00:00:00"/>
    <s v="M "/>
    <s v="Married"/>
    <s v="US Citizen"/>
    <s v="No"/>
    <x v="0"/>
    <d v="2013-09-30T00:00:00"/>
    <m/>
    <s v="N/A-StillEmployed"/>
    <s v="Active"/>
    <x v="0"/>
    <s v="Kelley Spirea"/>
    <n v="18"/>
    <x v="0"/>
    <s v="Exceeds"/>
    <s v="5.00"/>
    <n v="3"/>
    <n v="0"/>
    <n v="43648"/>
    <n v="0"/>
    <n v="13"/>
    <n v="49"/>
    <n v="12"/>
    <s v="Actif"/>
    <s v="45-59 ans"/>
    <x v="0"/>
    <x v="1"/>
  </r>
  <r>
    <s v="Owad  Clinton"/>
    <n v="10281"/>
    <n v="0"/>
    <n v="0"/>
    <n v="1"/>
    <n v="1"/>
    <n v="5"/>
    <n v="2"/>
    <n v="0"/>
    <n v="53060"/>
    <n v="0"/>
    <n v="19"/>
    <s v="Production Technician I"/>
    <s v="MA"/>
    <n v="1760"/>
    <d v="1979-11-24T00:00:00"/>
    <s v="M "/>
    <s v="Single"/>
    <s v="US Citizen"/>
    <s v="No"/>
    <x v="1"/>
    <d v="2014-02-17T00:00:00"/>
    <m/>
    <s v="N/A-StillEmployed"/>
    <s v="Active"/>
    <x v="0"/>
    <s v="Michael Albert"/>
    <n v="22"/>
    <x v="0"/>
    <s v="Needs Improvement"/>
    <s v="4.25"/>
    <n v="3"/>
    <n v="0"/>
    <n v="43557"/>
    <n v="4"/>
    <n v="6"/>
    <n v="46"/>
    <n v="12"/>
    <s v="Actif"/>
    <s v="45-59 ans"/>
    <x v="2"/>
    <x v="0"/>
  </r>
  <r>
    <s v="Ozark  Travis"/>
    <n v="10041"/>
    <n v="0"/>
    <n v="0"/>
    <n v="1"/>
    <n v="1"/>
    <n v="6"/>
    <n v="3"/>
    <n v="0"/>
    <n v="68829"/>
    <n v="0"/>
    <n v="3"/>
    <s v="Area Sales Manager"/>
    <s v="NC"/>
    <n v="27229"/>
    <d v="1982-05-19T00:00:00"/>
    <s v="M "/>
    <s v="Single"/>
    <s v="US Citizen"/>
    <s v="No"/>
    <x v="0"/>
    <d v="2015-05-01T00:00:00"/>
    <m/>
    <s v="N/A-StillEmployed"/>
    <s v="Active"/>
    <x v="4"/>
    <s v="John Smith"/>
    <n v="17"/>
    <x v="7"/>
    <s v="Fully Meets"/>
    <s v="5.00"/>
    <n v="5"/>
    <n v="0"/>
    <s v="1/14/2019"/>
    <n v="0"/>
    <n v="18"/>
    <n v="43"/>
    <n v="10"/>
    <s v="Actif"/>
    <s v="30-44 ans"/>
    <x v="1"/>
    <x v="1"/>
  </r>
  <r>
    <s v="Panjwani  Nina"/>
    <n v="10148"/>
    <n v="1"/>
    <n v="1"/>
    <n v="0"/>
    <n v="5"/>
    <n v="5"/>
    <n v="3"/>
    <n v="0"/>
    <n v="63515"/>
    <n v="1"/>
    <n v="19"/>
    <s v="Production Technician I"/>
    <s v="MA"/>
    <n v="2351"/>
    <d v="1979-01-05T00:00:00"/>
    <s v="F"/>
    <s v="Married"/>
    <s v="US Citizen"/>
    <s v="No"/>
    <x v="0"/>
    <d v="2011-07-02T00:00:00"/>
    <d v="2014-12-01T00:00:00"/>
    <s v="Another position"/>
    <s v="Voluntarily Terminated"/>
    <x v="0"/>
    <s v="Elijiah Gray"/>
    <n v="16"/>
    <x v="2"/>
    <s v="Fully Meets"/>
    <s v="3.89"/>
    <n v="4"/>
    <n v="0"/>
    <n v="41367"/>
    <n v="0"/>
    <n v="7"/>
    <n v="47"/>
    <n v="3"/>
    <s v="Volontaire"/>
    <s v="45-59 ans"/>
    <x v="1"/>
    <x v="0"/>
  </r>
  <r>
    <s v="Patronick  Lucas"/>
    <n v="10005"/>
    <n v="0"/>
    <n v="0"/>
    <n v="1"/>
    <n v="5"/>
    <n v="4"/>
    <n v="4"/>
    <n v="1"/>
    <n v="108987"/>
    <n v="1"/>
    <n v="24"/>
    <s v="Software Engineer"/>
    <s v="MA"/>
    <n v="1844"/>
    <d v="1979-02-20T00:00:00"/>
    <s v="M "/>
    <s v="Single"/>
    <s v="US Citizen"/>
    <s v="No"/>
    <x v="1"/>
    <d v="2011-07-11T00:00:00"/>
    <d v="2015-07-09T00:00:00"/>
    <s v="Another position"/>
    <s v="Voluntarily Terminated"/>
    <x v="2"/>
    <s v="Alex Sweetwater"/>
    <n v="10"/>
    <x v="4"/>
    <s v="Exceeds"/>
    <s v="5.00"/>
    <n v="5"/>
    <n v="3"/>
    <s v="8/16/2015"/>
    <n v="0"/>
    <n v="13"/>
    <n v="47"/>
    <n v="3"/>
    <s v="Volontaire"/>
    <s v="45-59 ans"/>
    <x v="0"/>
    <x v="1"/>
  </r>
  <r>
    <s v="Pearson  Randall"/>
    <n v="10259"/>
    <n v="1"/>
    <n v="1"/>
    <n v="1"/>
    <n v="5"/>
    <n v="3"/>
    <n v="3"/>
    <n v="0"/>
    <n v="93093"/>
    <n v="1"/>
    <n v="9"/>
    <s v="Data Analyst"/>
    <s v="MA"/>
    <n v="2747"/>
    <d v="1984-05-09T00:00:00"/>
    <s v="M "/>
    <s v="Married"/>
    <s v="US Citizen"/>
    <s v="No"/>
    <x v="0"/>
    <d v="2014-01-12T00:00:00"/>
    <d v="2016-01-05T00:00:00"/>
    <s v="performance"/>
    <s v="Voluntarily Terminated"/>
    <x v="1"/>
    <s v="Simon Roup"/>
    <n v="4"/>
    <x v="3"/>
    <s v="Fully Meets"/>
    <s v="4.70"/>
    <n v="4"/>
    <n v="5"/>
    <s v="1/16/2016"/>
    <n v="0"/>
    <n v="19"/>
    <n v="41"/>
    <n v="1"/>
    <s v="Involontaire"/>
    <s v="30-44 ans"/>
    <x v="1"/>
    <x v="1"/>
  </r>
  <r>
    <s v="Smith  Martin"/>
    <n v="10286"/>
    <n v="0"/>
    <n v="0"/>
    <n v="1"/>
    <n v="5"/>
    <n v="5"/>
    <n v="2"/>
    <n v="0"/>
    <n v="53564"/>
    <n v="1"/>
    <n v="19"/>
    <s v="Production Technician I"/>
    <s v="MA"/>
    <n v="2458"/>
    <d v="1988-03-17T00:00:00"/>
    <s v="M "/>
    <s v="Single"/>
    <s v="US Citizen"/>
    <s v="No"/>
    <x v="1"/>
    <d v="2011-10-01T00:00:00"/>
    <d v="2017-12-28T00:00:00"/>
    <s v="career change"/>
    <s v="Voluntarily Terminated"/>
    <x v="0"/>
    <s v="Webster Butler"/>
    <n v="39"/>
    <x v="2"/>
    <s v="Needs Improvement"/>
    <s v="3.54"/>
    <n v="5"/>
    <n v="0"/>
    <n v="42890"/>
    <n v="4"/>
    <n v="15"/>
    <n v="38"/>
    <n v="6"/>
    <s v="Volontaire"/>
    <s v="30-44 ans"/>
    <x v="2"/>
    <x v="1"/>
  </r>
  <r>
    <s v="Pelletier  Ermine"/>
    <n v="10297"/>
    <n v="1"/>
    <n v="1"/>
    <n v="0"/>
    <n v="5"/>
    <n v="5"/>
    <n v="2"/>
    <n v="0"/>
    <n v="60270"/>
    <n v="1"/>
    <n v="20"/>
    <s v="Production Technician II"/>
    <s v="MA"/>
    <n v="2472"/>
    <d v="1989-07-18T00:00:00"/>
    <s v="F"/>
    <s v="Married"/>
    <s v="US Citizen"/>
    <s v="No"/>
    <x v="3"/>
    <d v="2011-05-07T00:00:00"/>
    <d v="2015-09-15T00:00:00"/>
    <s v="unhappy"/>
    <s v="Voluntarily Terminated"/>
    <x v="0"/>
    <s v="Amy Dunn"/>
    <n v="11"/>
    <x v="6"/>
    <s v="Needs Improvement"/>
    <s v="2.40"/>
    <n v="5"/>
    <n v="0"/>
    <n v="42157"/>
    <n v="5"/>
    <n v="2"/>
    <n v="36"/>
    <n v="4"/>
    <s v="Volontaire"/>
    <s v="30-44 ans"/>
    <x v="2"/>
    <x v="0"/>
  </r>
  <r>
    <s v="Perry  Shakira"/>
    <n v="10171"/>
    <n v="0"/>
    <n v="0"/>
    <n v="0"/>
    <n v="5"/>
    <n v="5"/>
    <n v="3"/>
    <n v="0"/>
    <n v="45998"/>
    <n v="1"/>
    <n v="19"/>
    <s v="Production Technician I"/>
    <s v="MA"/>
    <n v="2176"/>
    <d v="1986-07-20T00:00:00"/>
    <s v="F"/>
    <s v="Single"/>
    <s v="US Citizen"/>
    <s v="No"/>
    <x v="0"/>
    <d v="2011-05-16T00:00:00"/>
    <d v="2015-10-25T00:00:00"/>
    <s v="medical issues"/>
    <s v="Voluntarily Terminated"/>
    <x v="0"/>
    <s v="Amy Dunn"/>
    <n v="11"/>
    <x v="0"/>
    <s v="Fully Meets"/>
    <s v="3.45"/>
    <n v="4"/>
    <n v="0"/>
    <s v="5/13/2014"/>
    <n v="0"/>
    <n v="5"/>
    <n v="39"/>
    <n v="4"/>
    <s v="Volontaire"/>
    <s v="30-44 ans"/>
    <x v="1"/>
    <x v="0"/>
  </r>
  <r>
    <s v="Peters  Lauren"/>
    <n v="10032"/>
    <n v="1"/>
    <n v="1"/>
    <n v="0"/>
    <n v="5"/>
    <n v="5"/>
    <n v="4"/>
    <n v="0"/>
    <n v="57954"/>
    <n v="1"/>
    <n v="20"/>
    <s v="Production Technician II"/>
    <s v="MA"/>
    <n v="1886"/>
    <d v="1986-08-17T00:00:00"/>
    <s v="F"/>
    <s v="Married"/>
    <s v="US Citizen"/>
    <s v="No"/>
    <x v="0"/>
    <d v="2011-05-16T00:00:00"/>
    <d v="2013-04-02T00:00:00"/>
    <s v="more money"/>
    <s v="Voluntarily Terminated"/>
    <x v="0"/>
    <s v="Ketsia Liebig"/>
    <n v="19"/>
    <x v="1"/>
    <s v="Exceeds"/>
    <s v="4.20"/>
    <n v="5"/>
    <n v="0"/>
    <n v="41548"/>
    <n v="0"/>
    <n v="12"/>
    <n v="39"/>
    <n v="1"/>
    <s v="Volontaire"/>
    <s v="30-44 ans"/>
    <x v="0"/>
    <x v="1"/>
  </r>
  <r>
    <s v="Peterson  Ebonee  "/>
    <n v="10130"/>
    <n v="1"/>
    <n v="1"/>
    <n v="0"/>
    <n v="5"/>
    <n v="5"/>
    <n v="3"/>
    <n v="0"/>
    <n v="74669"/>
    <n v="1"/>
    <n v="18"/>
    <s v="Production Manager"/>
    <s v="MA"/>
    <n v="2030"/>
    <d v="1977-09-05T00:00:00"/>
    <s v="F"/>
    <s v="Married"/>
    <s v="US Citizen"/>
    <s v="No"/>
    <x v="0"/>
    <d v="2010-10-25T00:00:00"/>
    <d v="2016-05-18T00:00:00"/>
    <s v="Another position"/>
    <s v="Voluntarily Terminated"/>
    <x v="0"/>
    <s v="Janet King"/>
    <n v="2"/>
    <x v="1"/>
    <s v="Fully Meets"/>
    <s v="4.16"/>
    <n v="5"/>
    <n v="0"/>
    <n v="42127"/>
    <n v="0"/>
    <n v="6"/>
    <n v="48"/>
    <n v="5"/>
    <s v="Volontaire"/>
    <s v="45-59 ans"/>
    <x v="1"/>
    <x v="0"/>
  </r>
  <r>
    <s v="Petingill  Shana  "/>
    <n v="10217"/>
    <n v="1"/>
    <n v="1"/>
    <n v="0"/>
    <n v="1"/>
    <n v="5"/>
    <n v="3"/>
    <n v="0"/>
    <n v="74226"/>
    <n v="0"/>
    <n v="20"/>
    <s v="Production Technician II"/>
    <s v="MA"/>
    <n v="2050"/>
    <d v="1979-10-03T00:00:00"/>
    <s v="F"/>
    <s v="Married"/>
    <s v="Eligible NonCitizen"/>
    <s v="No"/>
    <x v="3"/>
    <d v="2012-02-04T00:00:00"/>
    <m/>
    <s v="N/A-StillEmployed"/>
    <s v="Active"/>
    <x v="0"/>
    <s v="Brannon Miller"/>
    <n v="12"/>
    <x v="0"/>
    <s v="Fully Meets"/>
    <s v="4.30"/>
    <n v="3"/>
    <n v="0"/>
    <s v="1/14/2019"/>
    <n v="0"/>
    <n v="14"/>
    <n v="46"/>
    <n v="14"/>
    <s v="Actif"/>
    <s v="45-59 ans"/>
    <x v="1"/>
    <x v="1"/>
  </r>
  <r>
    <s v="Petrowsky  Thelma"/>
    <n v="10016"/>
    <n v="1"/>
    <n v="1"/>
    <n v="0"/>
    <n v="1"/>
    <n v="3"/>
    <n v="4"/>
    <n v="0"/>
    <n v="93554"/>
    <n v="0"/>
    <n v="9"/>
    <s v="Data Analyst"/>
    <s v="MA"/>
    <n v="1886"/>
    <d v="1984-09-16T00:00:00"/>
    <s v="F"/>
    <s v="Married"/>
    <s v="US Citizen"/>
    <s v="No"/>
    <x v="1"/>
    <d v="2014-10-11T00:00:00"/>
    <m/>
    <s v="N/A-StillEmployed"/>
    <s v="Active"/>
    <x v="1"/>
    <s v="Simon Roup"/>
    <n v="4"/>
    <x v="3"/>
    <s v="Exceeds"/>
    <s v="4.60"/>
    <n v="5"/>
    <n v="7"/>
    <n v="43556"/>
    <n v="0"/>
    <n v="16"/>
    <n v="41"/>
    <n v="11"/>
    <s v="Actif"/>
    <s v="30-44 ans"/>
    <x v="0"/>
    <x v="1"/>
  </r>
  <r>
    <s v="Pham  Hong"/>
    <n v="10050"/>
    <n v="1"/>
    <n v="1"/>
    <n v="1"/>
    <n v="5"/>
    <n v="5"/>
    <n v="3"/>
    <n v="0"/>
    <n v="64724"/>
    <n v="1"/>
    <n v="19"/>
    <s v="Production Technician I"/>
    <s v="MA"/>
    <n v="2451"/>
    <d v="1988-06-03T00:00:00"/>
    <s v="M "/>
    <s v="Married"/>
    <s v="US Citizen"/>
    <s v="No"/>
    <x v="3"/>
    <d v="2011-05-07T00:00:00"/>
    <d v="2012-11-30T00:00:00"/>
    <s v="more money"/>
    <s v="Voluntarily Terminated"/>
    <x v="0"/>
    <s v="Brannon Miller"/>
    <n v="12"/>
    <x v="2"/>
    <s v="Fully Meets"/>
    <s v="5.00"/>
    <n v="3"/>
    <n v="0"/>
    <s v="2/20/2012"/>
    <n v="0"/>
    <n v="13"/>
    <n v="37"/>
    <n v="1"/>
    <s v="Volontaire"/>
    <s v="30-44 ans"/>
    <x v="1"/>
    <x v="1"/>
  </r>
  <r>
    <s v="Pitt  Brad "/>
    <n v="10164"/>
    <n v="0"/>
    <n v="0"/>
    <n v="1"/>
    <n v="1"/>
    <n v="5"/>
    <n v="3"/>
    <n v="0"/>
    <n v="47001"/>
    <n v="0"/>
    <n v="19"/>
    <s v="Production Technician I"/>
    <s v="MA"/>
    <n v="2451"/>
    <d v="1981-11-23T00:00:00"/>
    <s v="M "/>
    <s v="Single"/>
    <s v="US Citizen"/>
    <s v="No"/>
    <x v="0"/>
    <d v="2007-05-11T00:00:00"/>
    <m/>
    <s v="N/A-StillEmployed"/>
    <s v="Active"/>
    <x v="0"/>
    <s v="David Stanley"/>
    <n v="14"/>
    <x v="2"/>
    <s v="Fully Meets"/>
    <s v="3.66"/>
    <n v="3"/>
    <n v="0"/>
    <s v="2/25/2019"/>
    <n v="0"/>
    <n v="15"/>
    <n v="44"/>
    <n v="18"/>
    <s v="Actif"/>
    <s v="30-44 ans"/>
    <x v="1"/>
    <x v="1"/>
  </r>
  <r>
    <s v="Potts  Xana"/>
    <n v="10124"/>
    <n v="1"/>
    <n v="1"/>
    <n v="0"/>
    <n v="1"/>
    <n v="6"/>
    <n v="3"/>
    <n v="0"/>
    <n v="61844"/>
    <n v="0"/>
    <n v="3"/>
    <s v="Area Sales Manager"/>
    <s v="KY"/>
    <n v="40220"/>
    <d v="1988-08-29T00:00:00"/>
    <s v="F"/>
    <s v="Married"/>
    <s v="US Citizen"/>
    <s v="No"/>
    <x v="1"/>
    <d v="2012-09-01T00:00:00"/>
    <m/>
    <s v="N/A-StillEmployed"/>
    <s v="Active"/>
    <x v="4"/>
    <s v="Lynn Daneault"/>
    <n v="21"/>
    <x v="7"/>
    <s v="Fully Meets"/>
    <s v="4.20"/>
    <n v="5"/>
    <n v="0"/>
    <n v="43467"/>
    <n v="0"/>
    <n v="9"/>
    <n v="37"/>
    <n v="13"/>
    <s v="Actif"/>
    <s v="30-44 ans"/>
    <x v="1"/>
    <x v="0"/>
  </r>
  <r>
    <s v="Power  Morissa"/>
    <n v="10187"/>
    <n v="0"/>
    <n v="2"/>
    <n v="0"/>
    <n v="5"/>
    <n v="5"/>
    <n v="3"/>
    <n v="0"/>
    <n v="46799"/>
    <n v="1"/>
    <n v="19"/>
    <s v="Production Technician I"/>
    <s v="MA"/>
    <n v="1742"/>
    <d v="1984-10-15T00:00:00"/>
    <s v="F"/>
    <s v="Divorced"/>
    <s v="Eligible NonCitizen"/>
    <s v="No"/>
    <x v="3"/>
    <d v="2011-05-16T00:00:00"/>
    <d v="2018-04-06T00:00:00"/>
    <s v="Another position"/>
    <s v="Voluntarily Terminated"/>
    <x v="0"/>
    <s v="Kissy Sullivan"/>
    <n v="20"/>
    <x v="2"/>
    <s v="Fully Meets"/>
    <s v="3.17"/>
    <n v="4"/>
    <n v="0"/>
    <n v="43135"/>
    <n v="0"/>
    <n v="14"/>
    <n v="41"/>
    <n v="6"/>
    <s v="Volontaire"/>
    <s v="30-44 ans"/>
    <x v="1"/>
    <x v="1"/>
  </r>
  <r>
    <s v="Punjabhi  Louis  "/>
    <n v="10225"/>
    <n v="0"/>
    <n v="0"/>
    <n v="1"/>
    <n v="1"/>
    <n v="5"/>
    <n v="3"/>
    <n v="0"/>
    <n v="59472"/>
    <n v="0"/>
    <n v="19"/>
    <s v="Production Technician I"/>
    <s v="MA"/>
    <n v="2109"/>
    <d v="1961-06-19T00:00:00"/>
    <s v="M "/>
    <s v="Single"/>
    <s v="US Citizen"/>
    <s v="No"/>
    <x v="0"/>
    <d v="2014-06-01T00:00:00"/>
    <m/>
    <s v="N/A-StillEmployed"/>
    <s v="Active"/>
    <x v="0"/>
    <s v="Kelley Spirea"/>
    <n v="18"/>
    <x v="3"/>
    <s v="Fully Meets"/>
    <s v="4.80"/>
    <n v="3"/>
    <n v="0"/>
    <n v="43647"/>
    <n v="0"/>
    <n v="14"/>
    <n v="64"/>
    <n v="11"/>
    <s v="Actif"/>
    <s v="60 ans et plus"/>
    <x v="1"/>
    <x v="1"/>
  </r>
  <r>
    <s v="Purinton  Janine"/>
    <n v="10262"/>
    <n v="0"/>
    <n v="2"/>
    <n v="0"/>
    <n v="5"/>
    <n v="5"/>
    <n v="3"/>
    <n v="0"/>
    <n v="46430"/>
    <n v="1"/>
    <n v="19"/>
    <s v="Production Technician I"/>
    <s v="MA"/>
    <n v="2474"/>
    <d v="1970-09-22T00:00:00"/>
    <s v="F"/>
    <s v="Divorced"/>
    <s v="US Citizen"/>
    <s v="No"/>
    <x v="0"/>
    <d v="2012-09-24T00:00:00"/>
    <d v="2013-06-18T00:00:00"/>
    <s v="unhappy"/>
    <s v="Voluntarily Terminated"/>
    <x v="0"/>
    <s v="Kissy Sullivan"/>
    <n v="20"/>
    <x v="1"/>
    <s v="Fully Meets"/>
    <s v="4.50"/>
    <n v="5"/>
    <n v="0"/>
    <n v="41309"/>
    <n v="0"/>
    <n v="16"/>
    <n v="55"/>
    <n v="0"/>
    <s v="Volontaire"/>
    <s v="45-59 ans"/>
    <x v="1"/>
    <x v="1"/>
  </r>
  <r>
    <s v="Quinn  Sean"/>
    <n v="10131"/>
    <n v="1"/>
    <n v="1"/>
    <n v="1"/>
    <n v="5"/>
    <n v="1"/>
    <n v="3"/>
    <n v="1"/>
    <n v="83363"/>
    <n v="1"/>
    <n v="23"/>
    <s v="Software Engineer"/>
    <s v="MA"/>
    <n v="2045"/>
    <d v="1984-06-11T00:00:00"/>
    <s v="M "/>
    <s v="Married"/>
    <s v="Eligible NonCitizen"/>
    <s v="No"/>
    <x v="1"/>
    <d v="2011-02-21T00:00:00"/>
    <d v="2015-08-15T00:00:00"/>
    <s v="career change"/>
    <s v="Voluntarily Terminated"/>
    <x v="2"/>
    <s v="Janet King"/>
    <n v="2"/>
    <x v="4"/>
    <s v="Fully Meets"/>
    <s v="4.15"/>
    <n v="4"/>
    <n v="0"/>
    <s v="4/19/2014"/>
    <n v="0"/>
    <n v="4"/>
    <n v="41"/>
    <n v="4"/>
    <s v="Volontaire"/>
    <s v="30-44 ans"/>
    <x v="1"/>
    <x v="0"/>
  </r>
  <r>
    <s v="Rachael  Maggie"/>
    <n v="10239"/>
    <n v="1"/>
    <n v="1"/>
    <n v="0"/>
    <n v="1"/>
    <n v="3"/>
    <n v="3"/>
    <n v="0"/>
    <n v="95920"/>
    <n v="0"/>
    <n v="4"/>
    <s v="BI Developer"/>
    <s v="MA"/>
    <n v="2110"/>
    <d v="1980-12-05T00:00:00"/>
    <s v="F"/>
    <s v="Married"/>
    <s v="US Citizen"/>
    <s v="No"/>
    <x v="1"/>
    <d v="2016-02-10T00:00:00"/>
    <m/>
    <s v="N/A-StillEmployed"/>
    <s v="Active"/>
    <x v="1"/>
    <s v="Brian Champaigne"/>
    <n v="13"/>
    <x v="1"/>
    <s v="Fully Meets"/>
    <s v="4.40"/>
    <n v="4"/>
    <n v="6"/>
    <n v="43618"/>
    <n v="0"/>
    <n v="10"/>
    <n v="45"/>
    <n v="10"/>
    <s v="Actif"/>
    <s v="45-59 ans"/>
    <x v="1"/>
    <x v="0"/>
  </r>
  <r>
    <s v="Rarrick  Quinn"/>
    <n v="10152"/>
    <n v="0"/>
    <n v="2"/>
    <n v="1"/>
    <n v="5"/>
    <n v="5"/>
    <n v="3"/>
    <n v="0"/>
    <n v="61729"/>
    <n v="1"/>
    <n v="19"/>
    <s v="Production Technician I"/>
    <s v="MA"/>
    <n v="2478"/>
    <d v="1984-12-31T00:00:00"/>
    <s v="M "/>
    <s v="Divorced"/>
    <s v="US Citizen"/>
    <s v="No"/>
    <x v="0"/>
    <d v="2011-09-26T00:00:00"/>
    <d v="2018-07-04T00:00:00"/>
    <s v="more money"/>
    <s v="Voluntarily Terminated"/>
    <x v="0"/>
    <s v="Michael Albert"/>
    <n v="22"/>
    <x v="1"/>
    <s v="Fully Meets"/>
    <s v="3.80"/>
    <n v="5"/>
    <n v="0"/>
    <n v="43192"/>
    <n v="0"/>
    <n v="19"/>
    <n v="41"/>
    <n v="6"/>
    <s v="Volontaire"/>
    <s v="30-44 ans"/>
    <x v="1"/>
    <x v="1"/>
  </r>
  <r>
    <s v="Ren  Kylo"/>
    <n v="10140"/>
    <n v="1"/>
    <n v="1"/>
    <n v="1"/>
    <n v="1"/>
    <n v="6"/>
    <n v="3"/>
    <n v="0"/>
    <n v="61809"/>
    <n v="0"/>
    <n v="3"/>
    <s v="Area Sales Manager"/>
    <s v="ID"/>
    <n v="83706"/>
    <d v="1954-12-10T00:00:00"/>
    <s v="M "/>
    <s v="Married"/>
    <s v="US Citizen"/>
    <s v="No"/>
    <x v="0"/>
    <d v="2014-12-05T00:00:00"/>
    <m/>
    <s v="N/A-StillEmployed"/>
    <s v="Active"/>
    <x v="4"/>
    <s v="John Smith"/>
    <n v="17"/>
    <x v="6"/>
    <s v="Fully Meets"/>
    <s v="3.98"/>
    <n v="3"/>
    <n v="0"/>
    <s v="1/28/2019"/>
    <n v="0"/>
    <n v="4"/>
    <n v="71"/>
    <n v="11"/>
    <s v="Actif"/>
    <s v="60 ans et plus"/>
    <x v="1"/>
    <x v="0"/>
  </r>
  <r>
    <s v="Rhoads  Thomas"/>
    <n v="10058"/>
    <n v="0"/>
    <n v="2"/>
    <n v="1"/>
    <n v="5"/>
    <n v="5"/>
    <n v="3"/>
    <n v="0"/>
    <n v="45115"/>
    <n v="1"/>
    <n v="19"/>
    <s v="Production Technician I"/>
    <s v="MA"/>
    <n v="2176"/>
    <d v="1982-07-22T00:00:00"/>
    <s v="M "/>
    <s v="Divorced"/>
    <s v="US Citizen"/>
    <s v="Yes"/>
    <x v="0"/>
    <d v="2011-05-16T00:00:00"/>
    <d v="2016-01-15T00:00:00"/>
    <s v="retiring"/>
    <s v="Voluntarily Terminated"/>
    <x v="0"/>
    <s v="Elijiah Gray"/>
    <n v="16"/>
    <x v="0"/>
    <s v="Fully Meets"/>
    <s v="5.00"/>
    <n v="4"/>
    <n v="0"/>
    <s v="3/30/2015"/>
    <n v="0"/>
    <n v="11"/>
    <n v="43"/>
    <n v="4"/>
    <s v="Volontaire"/>
    <s v="30-44 ans"/>
    <x v="1"/>
    <x v="1"/>
  </r>
  <r>
    <s v="Rivera  Haley  "/>
    <n v="10011"/>
    <n v="1"/>
    <n v="1"/>
    <n v="0"/>
    <n v="1"/>
    <n v="5"/>
    <n v="4"/>
    <n v="0"/>
    <n v="46738"/>
    <n v="0"/>
    <n v="19"/>
    <s v="Production Technician I"/>
    <s v="MA"/>
    <n v="2171"/>
    <d v="1973-12-01T00:00:00"/>
    <s v="F"/>
    <s v="Married"/>
    <s v="US Citizen"/>
    <s v="No"/>
    <x v="3"/>
    <d v="2011-11-28T00:00:00"/>
    <m/>
    <s v="N/A-StillEmployed"/>
    <s v="Active"/>
    <x v="0"/>
    <s v="Webster Butler"/>
    <m/>
    <x v="2"/>
    <s v="Exceeds"/>
    <s v="4.36"/>
    <n v="5"/>
    <n v="0"/>
    <n v="43771"/>
    <n v="0"/>
    <n v="16"/>
    <n v="52"/>
    <n v="14"/>
    <s v="Actif"/>
    <s v="45-59 ans"/>
    <x v="0"/>
    <x v="1"/>
  </r>
  <r>
    <s v="Roberson  May"/>
    <n v="10230"/>
    <n v="0"/>
    <n v="2"/>
    <n v="0"/>
    <n v="5"/>
    <n v="5"/>
    <n v="3"/>
    <n v="0"/>
    <n v="64971"/>
    <n v="1"/>
    <n v="20"/>
    <s v="Production Technician II"/>
    <s v="MA"/>
    <n v="1902"/>
    <d v="1981-05-09T00:00:00"/>
    <s v="F"/>
    <s v="Divorced"/>
    <s v="Eligible NonCitizen"/>
    <s v="No"/>
    <x v="1"/>
    <d v="2011-09-26T00:00:00"/>
    <d v="2011-10-22T00:00:00"/>
    <s v="return to school"/>
    <s v="Voluntarily Terminated"/>
    <x v="0"/>
    <s v="David Stanley"/>
    <n v="14"/>
    <x v="2"/>
    <s v="Fully Meets"/>
    <s v="4.50"/>
    <n v="4"/>
    <n v="0"/>
    <s v="10/22/2011"/>
    <n v="0"/>
    <n v="10"/>
    <n v="44"/>
    <n v="0"/>
    <s v="Volontaire"/>
    <s v="30-44 ans"/>
    <x v="1"/>
    <x v="0"/>
  </r>
  <r>
    <s v="Robertson  Peter"/>
    <n v="10224"/>
    <n v="1"/>
    <n v="1"/>
    <n v="1"/>
    <n v="5"/>
    <n v="5"/>
    <n v="3"/>
    <n v="0"/>
    <n v="55578"/>
    <n v="1"/>
    <n v="20"/>
    <s v="Production Technician II"/>
    <s v="MA"/>
    <n v="2138"/>
    <d v="1972-03-07T00:00:00"/>
    <s v="M "/>
    <s v="Married"/>
    <s v="US Citizen"/>
    <s v="No"/>
    <x v="0"/>
    <d v="2011-05-07T00:00:00"/>
    <d v="2012-08-02T00:00:00"/>
    <s v="Another position"/>
    <s v="Voluntarily Terminated"/>
    <x v="0"/>
    <s v="Kissy Sullivan"/>
    <n v="20"/>
    <x v="1"/>
    <s v="Fully Meets"/>
    <s v="4.20"/>
    <n v="5"/>
    <n v="0"/>
    <n v="41061"/>
    <n v="0"/>
    <n v="13"/>
    <n v="54"/>
    <n v="1"/>
    <s v="Volontaire"/>
    <s v="45-59 ans"/>
    <x v="1"/>
    <x v="1"/>
  </r>
  <r>
    <s v="Robinson  Alain  "/>
    <n v="10047"/>
    <n v="1"/>
    <n v="1"/>
    <n v="1"/>
    <n v="5"/>
    <n v="5"/>
    <n v="3"/>
    <n v="0"/>
    <n v="50428"/>
    <n v="1"/>
    <n v="19"/>
    <s v="Production Technician I"/>
    <s v="MA"/>
    <n v="1420"/>
    <d v="1974-07-01T00:00:00"/>
    <s v="M "/>
    <s v="Married"/>
    <s v="US Citizen"/>
    <s v="No"/>
    <x v="1"/>
    <d v="2011-10-01T00:00:00"/>
    <d v="2016-01-26T00:00:00"/>
    <s v="attendance"/>
    <s v="Voluntarily Terminated"/>
    <x v="0"/>
    <s v="Amy Dunn"/>
    <n v="11"/>
    <x v="1"/>
    <s v="Fully Meets"/>
    <s v="5.00"/>
    <n v="3"/>
    <n v="0"/>
    <n v="42278"/>
    <n v="0"/>
    <n v="11"/>
    <n v="51"/>
    <n v="4"/>
    <s v="Involontaire"/>
    <s v="45-59 ans"/>
    <x v="1"/>
    <x v="1"/>
  </r>
  <r>
    <s v="Robinson  Cherly"/>
    <n v="10285"/>
    <n v="1"/>
    <n v="1"/>
    <n v="0"/>
    <n v="4"/>
    <n v="5"/>
    <n v="2"/>
    <n v="0"/>
    <n v="61422"/>
    <n v="1"/>
    <n v="19"/>
    <s v="Production Technician I"/>
    <s v="MA"/>
    <n v="1460"/>
    <d v="1985-07-01T00:00:00"/>
    <s v="F"/>
    <s v="Married"/>
    <s v="US Citizen"/>
    <s v="No"/>
    <x v="0"/>
    <d v="2011-10-01T00:00:00"/>
    <d v="2016-05-17T00:00:00"/>
    <s v="attendance"/>
    <s v="Terminated for Cause"/>
    <x v="0"/>
    <s v="Ketsia Liebig"/>
    <n v="19"/>
    <x v="1"/>
    <s v="Needs Improvement"/>
    <s v="3.60"/>
    <n v="3"/>
    <n v="0"/>
    <n v="42494"/>
    <n v="4"/>
    <n v="16"/>
    <n v="40"/>
    <n v="4"/>
    <s v="Involontaire"/>
    <s v="30-44 ans"/>
    <x v="2"/>
    <x v="1"/>
  </r>
  <r>
    <s v="Robinson  Elias"/>
    <n v="10020"/>
    <n v="0"/>
    <n v="4"/>
    <n v="1"/>
    <n v="1"/>
    <n v="5"/>
    <n v="4"/>
    <n v="0"/>
    <n v="63353"/>
    <n v="0"/>
    <n v="19"/>
    <s v="Production Technician I"/>
    <s v="MA"/>
    <n v="1730"/>
    <d v="1985-01-28T00:00:00"/>
    <s v="M "/>
    <s v="Widowed"/>
    <s v="US Citizen"/>
    <s v="No"/>
    <x v="0"/>
    <d v="2013-08-07T00:00:00"/>
    <m/>
    <s v="N/A-StillEmployed"/>
    <s v="Active"/>
    <x v="0"/>
    <s v="Brannon Miller"/>
    <n v="12"/>
    <x v="3"/>
    <s v="Exceeds"/>
    <s v="3.60"/>
    <n v="5"/>
    <n v="0"/>
    <n v="43771"/>
    <n v="0"/>
    <n v="4"/>
    <n v="41"/>
    <n v="12"/>
    <s v="Actif"/>
    <s v="30-44 ans"/>
    <x v="0"/>
    <x v="0"/>
  </r>
  <r>
    <s v="Roby  Lori "/>
    <n v="10162"/>
    <n v="1"/>
    <n v="1"/>
    <n v="0"/>
    <n v="1"/>
    <n v="3"/>
    <n v="3"/>
    <n v="0"/>
    <n v="89883"/>
    <n v="0"/>
    <n v="9"/>
    <s v="Data Analyst"/>
    <s v="MA"/>
    <n v="1886"/>
    <d v="1981-11-10T00:00:00"/>
    <s v="F"/>
    <s v="Married"/>
    <s v="US Citizen"/>
    <s v="No"/>
    <x v="0"/>
    <d v="2015-02-16T00:00:00"/>
    <m/>
    <s v="N/A-StillEmployed"/>
    <s v="Active"/>
    <x v="1"/>
    <s v="Simon Roup"/>
    <n v="4"/>
    <x v="3"/>
    <s v="Fully Meets"/>
    <s v="3.69"/>
    <n v="5"/>
    <n v="6"/>
    <s v="2/14/2019"/>
    <n v="0"/>
    <n v="15"/>
    <n v="44"/>
    <n v="11"/>
    <s v="Actif"/>
    <s v="30-44 ans"/>
    <x v="1"/>
    <x v="1"/>
  </r>
  <r>
    <s v="Roehrich  Bianca"/>
    <n v="10149"/>
    <n v="0"/>
    <n v="0"/>
    <n v="0"/>
    <n v="5"/>
    <n v="3"/>
    <n v="3"/>
    <n v="0"/>
    <n v="120000"/>
    <n v="1"/>
    <n v="29"/>
    <s v="Principal Data Architect"/>
    <s v="MA"/>
    <n v="2703"/>
    <d v="1973-05-27T00:00:00"/>
    <s v="F"/>
    <s v="Single"/>
    <s v="US Citizen"/>
    <s v="Yes"/>
    <x v="0"/>
    <d v="2015-05-01T00:00:00"/>
    <d v="2018-10-11T00:00:00"/>
    <s v="Another position"/>
    <s v="Voluntarily Terminated"/>
    <x v="1"/>
    <s v="Simon Roup"/>
    <n v="4"/>
    <x v="0"/>
    <s v="Fully Meets"/>
    <s v="3.88"/>
    <n v="3"/>
    <n v="7"/>
    <s v="2/13/2018"/>
    <n v="0"/>
    <n v="12"/>
    <n v="52"/>
    <n v="3"/>
    <s v="Volontaire"/>
    <s v="45-59 ans"/>
    <x v="1"/>
    <x v="1"/>
  </r>
  <r>
    <s v="Roper  Katie"/>
    <n v="10086"/>
    <n v="0"/>
    <n v="0"/>
    <n v="0"/>
    <n v="1"/>
    <n v="3"/>
    <n v="3"/>
    <n v="0"/>
    <n v="150290"/>
    <n v="0"/>
    <n v="7"/>
    <s v="Data Architect"/>
    <s v="MA"/>
    <n v="2056"/>
    <d v="1972-11-21T00:00:00"/>
    <s v="F"/>
    <s v="Single"/>
    <s v="US Citizen"/>
    <s v="No"/>
    <x v="1"/>
    <d v="2017-07-01T00:00:00"/>
    <m/>
    <s v="N/A-StillEmployed"/>
    <s v="Active"/>
    <x v="1"/>
    <s v="Brian Champaigne"/>
    <n v="13"/>
    <x v="1"/>
    <s v="Fully Meets"/>
    <s v="4.94"/>
    <n v="3"/>
    <n v="5"/>
    <n v="43618"/>
    <n v="0"/>
    <n v="17"/>
    <n v="53"/>
    <n v="8"/>
    <s v="Actif"/>
    <s v="45-59 ans"/>
    <x v="1"/>
    <x v="1"/>
  </r>
  <r>
    <s v="Rose  Ashley  "/>
    <n v="10054"/>
    <n v="0"/>
    <n v="3"/>
    <n v="0"/>
    <n v="1"/>
    <n v="5"/>
    <n v="3"/>
    <n v="0"/>
    <n v="60627"/>
    <n v="0"/>
    <n v="19"/>
    <s v="Production Technician I"/>
    <s v="MA"/>
    <n v="1886"/>
    <d v="1974-05-12T00:00:00"/>
    <s v="F"/>
    <s v="Separated"/>
    <s v="US Citizen"/>
    <s v="No"/>
    <x v="0"/>
    <d v="2014-06-01T00:00:00"/>
    <m/>
    <s v="N/A-StillEmployed"/>
    <s v="Active"/>
    <x v="0"/>
    <s v="David Stanley"/>
    <n v="14"/>
    <x v="7"/>
    <s v="Fully Meets"/>
    <s v="5.00"/>
    <n v="4"/>
    <n v="0"/>
    <s v="1/31/2019"/>
    <n v="0"/>
    <n v="8"/>
    <n v="51"/>
    <n v="11"/>
    <s v="Actif"/>
    <s v="45-59 ans"/>
    <x v="1"/>
    <x v="0"/>
  </r>
  <r>
    <s v="Rossetti  Bruno"/>
    <n v="10065"/>
    <n v="0"/>
    <n v="0"/>
    <n v="1"/>
    <n v="5"/>
    <n v="5"/>
    <n v="3"/>
    <n v="0"/>
    <n v="53180"/>
    <n v="1"/>
    <n v="19"/>
    <s v="Production Technician I"/>
    <s v="MA"/>
    <n v="2155"/>
    <d v="1987-03-18T00:00:00"/>
    <s v="M "/>
    <s v="Single"/>
    <s v="US Citizen"/>
    <s v="No"/>
    <x v="0"/>
    <d v="2011-04-04T00:00:00"/>
    <d v="2018-08-13T00:00:00"/>
    <s v="Another position"/>
    <s v="Voluntarily Terminated"/>
    <x v="0"/>
    <s v="Kissy Sullivan"/>
    <n v="20"/>
    <x v="2"/>
    <s v="Fully Meets"/>
    <s v="5.00"/>
    <n v="5"/>
    <n v="0"/>
    <n v="43138"/>
    <n v="0"/>
    <n v="4"/>
    <n v="39"/>
    <n v="7"/>
    <s v="Volontaire"/>
    <s v="30-44 ans"/>
    <x v="1"/>
    <x v="0"/>
  </r>
  <r>
    <s v="Roup Simon"/>
    <n v="10198"/>
    <n v="0"/>
    <n v="0"/>
    <n v="1"/>
    <n v="1"/>
    <n v="3"/>
    <n v="3"/>
    <n v="0"/>
    <n v="140920"/>
    <n v="0"/>
    <n v="13"/>
    <s v="IT Manager - DB"/>
    <s v="MA"/>
    <n v="2481"/>
    <d v="1973-05-04T00:00:00"/>
    <s v="M "/>
    <s v="Single"/>
    <s v="US Citizen"/>
    <s v="No"/>
    <x v="0"/>
    <d v="2013-01-20T00:00:00"/>
    <m/>
    <s v="N/A-StillEmployed"/>
    <s v="Active"/>
    <x v="1"/>
    <s v="Jennifer Zamora"/>
    <n v="5"/>
    <x v="1"/>
    <s v="Fully Meets"/>
    <s v="3.60"/>
    <n v="5"/>
    <n v="7"/>
    <s v="2/18/2019"/>
    <n v="0"/>
    <n v="13"/>
    <n v="52"/>
    <n v="13"/>
    <s v="Actif"/>
    <s v="45-59 ans"/>
    <x v="1"/>
    <x v="1"/>
  </r>
  <r>
    <s v="Ruiz  Ricardo"/>
    <n v="10222"/>
    <n v="0"/>
    <n v="2"/>
    <n v="1"/>
    <n v="5"/>
    <n v="3"/>
    <n v="3"/>
    <n v="1"/>
    <n v="148999"/>
    <n v="1"/>
    <n v="13"/>
    <s v="IT Manager - DB"/>
    <s v="MA"/>
    <n v="1915"/>
    <d v="1964-04-01T00:00:00"/>
    <s v="M "/>
    <s v="Divorced"/>
    <s v="US Citizen"/>
    <s v="No"/>
    <x v="1"/>
    <d v="2012-09-01T00:00:00"/>
    <d v="2015-04-11T00:00:00"/>
    <s v="hours"/>
    <s v="Voluntarily Terminated"/>
    <x v="1"/>
    <s v="Jennifer Zamora"/>
    <n v="5"/>
    <x v="4"/>
    <s v="Fully Meets"/>
    <s v="4.30"/>
    <n v="4"/>
    <n v="6"/>
    <n v="42095"/>
    <n v="0"/>
    <n v="8"/>
    <n v="62"/>
    <n v="2"/>
    <s v="Involontaire"/>
    <s v="60 ans et plus"/>
    <x v="1"/>
    <x v="0"/>
  </r>
  <r>
    <s v="Saada  Adell"/>
    <n v="10126"/>
    <n v="1"/>
    <n v="1"/>
    <n v="0"/>
    <n v="1"/>
    <n v="4"/>
    <n v="3"/>
    <n v="0"/>
    <n v="86214"/>
    <n v="0"/>
    <n v="24"/>
    <s v="Software Engineer"/>
    <s v="MA"/>
    <n v="2132"/>
    <d v="1986-07-24T00:00:00"/>
    <s v="F"/>
    <s v="Married"/>
    <s v="US Citizen"/>
    <s v="No"/>
    <x v="0"/>
    <d v="2012-05-11T00:00:00"/>
    <m/>
    <s v="N/A-StillEmployed"/>
    <s v="Active"/>
    <x v="2"/>
    <s v="Alex Sweetwater"/>
    <n v="10"/>
    <x v="1"/>
    <s v="Fully Meets"/>
    <s v="4.20"/>
    <n v="3"/>
    <n v="6"/>
    <s v="2/13/2019"/>
    <n v="0"/>
    <n v="2"/>
    <n v="39"/>
    <n v="13"/>
    <s v="Actif"/>
    <s v="30-44 ans"/>
    <x v="1"/>
    <x v="0"/>
  </r>
  <r>
    <s v="Saar-Beckles  Melinda"/>
    <n v="10295"/>
    <n v="0"/>
    <n v="0"/>
    <n v="0"/>
    <n v="2"/>
    <n v="5"/>
    <n v="2"/>
    <n v="1"/>
    <n v="47750"/>
    <n v="0"/>
    <n v="19"/>
    <s v="Production Technician I"/>
    <s v="MA"/>
    <n v="1801"/>
    <d v="1968-06-06T00:00:00"/>
    <s v="F"/>
    <s v="Single"/>
    <s v="US Citizen"/>
    <s v="No"/>
    <x v="1"/>
    <d v="2016-04-07T00:00:00"/>
    <m/>
    <s v="N/A-StillEmployed"/>
    <s v="Active"/>
    <x v="0"/>
    <s v="Kelley Spirea"/>
    <n v="18"/>
    <x v="4"/>
    <s v="Needs Improvement"/>
    <s v="2.60"/>
    <n v="4"/>
    <n v="0"/>
    <s v="2/18/2019"/>
    <n v="5"/>
    <n v="4"/>
    <n v="57"/>
    <n v="9"/>
    <s v="Actif"/>
    <s v="45-59 ans"/>
    <x v="2"/>
    <x v="0"/>
  </r>
  <r>
    <s v="Sadki  Nore  "/>
    <n v="10260"/>
    <n v="0"/>
    <n v="0"/>
    <n v="1"/>
    <n v="5"/>
    <n v="5"/>
    <n v="3"/>
    <n v="0"/>
    <n v="46428"/>
    <n v="1"/>
    <n v="19"/>
    <s v="Production Technician I"/>
    <s v="MA"/>
    <n v="2148"/>
    <d v="1974-12-21T00:00:00"/>
    <s v="M "/>
    <s v="Single"/>
    <s v="US Citizen"/>
    <s v="No"/>
    <x v="0"/>
    <d v="2009-05-01T00:00:00"/>
    <d v="2018-07-30T00:00:00"/>
    <s v="relocation out of area"/>
    <s v="Voluntarily Terminated"/>
    <x v="0"/>
    <s v="Michael Albert"/>
    <n v="22"/>
    <x v="2"/>
    <s v="Fully Meets"/>
    <s v="4.60"/>
    <n v="5"/>
    <n v="0"/>
    <n v="43222"/>
    <n v="0"/>
    <n v="7"/>
    <n v="51"/>
    <n v="9"/>
    <s v="Volontaire"/>
    <s v="45-59 ans"/>
    <x v="1"/>
    <x v="0"/>
  </r>
  <r>
    <s v="Sahoo  Adil"/>
    <n v="10233"/>
    <n v="1"/>
    <n v="1"/>
    <n v="1"/>
    <n v="1"/>
    <n v="5"/>
    <n v="3"/>
    <n v="0"/>
    <n v="57975"/>
    <n v="0"/>
    <n v="20"/>
    <s v="Production Technician II"/>
    <s v="MA"/>
    <n v="2062"/>
    <d v="1986-04-26T00:00:00"/>
    <s v="M "/>
    <s v="Married"/>
    <s v="US Citizen"/>
    <s v="No"/>
    <x v="0"/>
    <d v="2010-08-30T00:00:00"/>
    <m/>
    <s v="N/A-StillEmployed"/>
    <s v="Active"/>
    <x v="0"/>
    <s v="Kelley Spirea"/>
    <n v="18"/>
    <x v="6"/>
    <s v="Fully Meets"/>
    <s v="4.10"/>
    <n v="3"/>
    <n v="0"/>
    <n v="43739"/>
    <n v="0"/>
    <n v="13"/>
    <n v="39"/>
    <n v="15"/>
    <s v="Actif"/>
    <s v="30-44 ans"/>
    <x v="1"/>
    <x v="1"/>
  </r>
  <r>
    <s v="Salter  Jason"/>
    <n v="10229"/>
    <n v="0"/>
    <n v="2"/>
    <n v="1"/>
    <n v="5"/>
    <n v="3"/>
    <n v="3"/>
    <n v="0"/>
    <n v="88527"/>
    <n v="1"/>
    <n v="9"/>
    <s v="Data Analyst "/>
    <s v="MA"/>
    <n v="2452"/>
    <d v="1987-12-17T00:00:00"/>
    <s v="M "/>
    <s v="Divorced"/>
    <s v="US Citizen"/>
    <s v="No"/>
    <x v="1"/>
    <d v="2015-05-01T00:00:00"/>
    <d v="2015-10-31T00:00:00"/>
    <s v="hours"/>
    <s v="Voluntarily Terminated"/>
    <x v="1"/>
    <s v="Simon Roup"/>
    <n v="4"/>
    <x v="0"/>
    <s v="Fully Meets"/>
    <s v="4.20"/>
    <n v="3"/>
    <n v="5"/>
    <s v="4/20/2015"/>
    <n v="0"/>
    <n v="2"/>
    <n v="38"/>
    <n v="0"/>
    <s v="Involontaire"/>
    <s v="30-44 ans"/>
    <x v="1"/>
    <x v="0"/>
  </r>
  <r>
    <s v="Sander  Kamrin"/>
    <n v="10169"/>
    <n v="1"/>
    <n v="1"/>
    <n v="0"/>
    <n v="1"/>
    <n v="5"/>
    <n v="3"/>
    <n v="0"/>
    <n v="56147"/>
    <n v="0"/>
    <n v="19"/>
    <s v="Production Technician I"/>
    <s v="MA"/>
    <n v="2154"/>
    <d v="1988-10-07T00:00:00"/>
    <s v="F"/>
    <s v="Married"/>
    <s v="US Citizen"/>
    <s v="No"/>
    <x v="1"/>
    <d v="2014-09-29T00:00:00"/>
    <m/>
    <s v="N/A-StillEmployed"/>
    <s v="Active"/>
    <x v="0"/>
    <s v="Elijiah Gray"/>
    <n v="16"/>
    <x v="0"/>
    <s v="Fully Meets"/>
    <s v="3.51"/>
    <n v="3"/>
    <n v="0"/>
    <s v="2/18/2019"/>
    <n v="0"/>
    <n v="2"/>
    <n v="37"/>
    <n v="11"/>
    <s v="Actif"/>
    <s v="30-44 ans"/>
    <x v="1"/>
    <x v="0"/>
  </r>
  <r>
    <s v="Sewkumar  Nori"/>
    <n v="10071"/>
    <n v="0"/>
    <n v="0"/>
    <n v="0"/>
    <n v="3"/>
    <n v="5"/>
    <n v="3"/>
    <n v="0"/>
    <n v="50923"/>
    <n v="0"/>
    <n v="19"/>
    <s v="Production Technician I"/>
    <s v="MA"/>
    <n v="2191"/>
    <d v="1975-10-03T00:00:00"/>
    <s v="F"/>
    <s v="Single"/>
    <s v="US Citizen"/>
    <s v="No"/>
    <x v="3"/>
    <d v="2013-09-30T00:00:00"/>
    <m/>
    <s v="N/A-StillEmployed"/>
    <s v="Active"/>
    <x v="0"/>
    <s v="Webster Butler"/>
    <m/>
    <x v="2"/>
    <s v="Fully Meets"/>
    <s v="5.00"/>
    <n v="5"/>
    <n v="0"/>
    <n v="43618"/>
    <n v="0"/>
    <n v="14"/>
    <n v="50"/>
    <n v="12"/>
    <s v="Actif"/>
    <s v="45-59 ans"/>
    <x v="1"/>
    <x v="1"/>
  </r>
  <r>
    <s v="Shepard  Anita "/>
    <n v="10179"/>
    <n v="1"/>
    <n v="1"/>
    <n v="0"/>
    <n v="1"/>
    <n v="3"/>
    <n v="3"/>
    <n v="0"/>
    <n v="50750"/>
    <n v="0"/>
    <n v="15"/>
    <s v="Network Engineer"/>
    <s v="MA"/>
    <n v="1773"/>
    <d v="1981-04-14T00:00:00"/>
    <s v="F"/>
    <s v="Married"/>
    <s v="US Citizen"/>
    <s v="No"/>
    <x v="0"/>
    <d v="2014-09-30T00:00:00"/>
    <m/>
    <s v="N/A-StillEmployed"/>
    <s v="Active"/>
    <x v="1"/>
    <s v="Peter Monroe"/>
    <n v="7"/>
    <x v="0"/>
    <s v="Fully Meets"/>
    <s v="3.31"/>
    <n v="3"/>
    <n v="6"/>
    <n v="43647"/>
    <n v="0"/>
    <n v="7"/>
    <n v="44"/>
    <n v="11"/>
    <s v="Actif"/>
    <s v="30-44 ans"/>
    <x v="1"/>
    <x v="0"/>
  </r>
  <r>
    <s v="Shields  Seffi"/>
    <n v="10091"/>
    <n v="1"/>
    <n v="1"/>
    <n v="0"/>
    <n v="1"/>
    <n v="5"/>
    <n v="3"/>
    <n v="0"/>
    <n v="52087"/>
    <n v="0"/>
    <n v="19"/>
    <s v="Production Technician I"/>
    <s v="MA"/>
    <n v="2149"/>
    <d v="1985-08-24T00:00:00"/>
    <s v="F"/>
    <s v="Married"/>
    <s v="US Citizen"/>
    <s v="No"/>
    <x v="0"/>
    <d v="2013-08-19T00:00:00"/>
    <m/>
    <s v="N/A-StillEmployed"/>
    <s v="Active"/>
    <x v="0"/>
    <s v="Amy Dunn"/>
    <n v="11"/>
    <x v="0"/>
    <s v="Fully Meets"/>
    <s v="4.81"/>
    <n v="4"/>
    <n v="0"/>
    <s v="2/15/2019"/>
    <n v="0"/>
    <n v="15"/>
    <n v="40"/>
    <n v="12"/>
    <s v="Actif"/>
    <s v="30-44 ans"/>
    <x v="1"/>
    <x v="1"/>
  </r>
  <r>
    <s v="Simard  Kramer"/>
    <n v="10178"/>
    <n v="1"/>
    <n v="1"/>
    <n v="1"/>
    <n v="1"/>
    <n v="3"/>
    <n v="3"/>
    <n v="0"/>
    <n v="87826"/>
    <n v="0"/>
    <n v="9"/>
    <s v="Data Analyst"/>
    <s v="MA"/>
    <n v="2110"/>
    <d v="1970-08-02T00:00:00"/>
    <s v="M "/>
    <s v="Married"/>
    <s v="US Citizen"/>
    <s v="Yes"/>
    <x v="0"/>
    <d v="2015-05-01T00:00:00"/>
    <m/>
    <s v="N/A-StillEmployed"/>
    <s v="Active"/>
    <x v="1"/>
    <s v="Simon Roup"/>
    <n v="4"/>
    <x v="3"/>
    <s v="Fully Meets"/>
    <s v="3.32"/>
    <n v="3"/>
    <n v="7"/>
    <s v="1/14/2019"/>
    <n v="0"/>
    <n v="16"/>
    <n v="55"/>
    <n v="10"/>
    <s v="Actif"/>
    <s v="45-59 ans"/>
    <x v="1"/>
    <x v="1"/>
  </r>
  <r>
    <s v="Singh  Nan "/>
    <n v="10039"/>
    <n v="0"/>
    <n v="0"/>
    <n v="0"/>
    <n v="1"/>
    <n v="1"/>
    <n v="3"/>
    <n v="0"/>
    <n v="51920"/>
    <n v="0"/>
    <n v="2"/>
    <s v="Administrative Assistant"/>
    <s v="MA"/>
    <n v="2330"/>
    <d v="1988-05-19T00:00:00"/>
    <s v="F"/>
    <s v="Single"/>
    <s v="US Citizen"/>
    <s v="No"/>
    <x v="0"/>
    <d v="2015-01-05T00:00:00"/>
    <m/>
    <s v="N/A-StillEmployed"/>
    <s v="Active"/>
    <x v="3"/>
    <s v="Brandon R. LeBlanc"/>
    <n v="1"/>
    <x v="7"/>
    <s v="Fully Meets"/>
    <s v="5.00"/>
    <n v="3"/>
    <n v="5"/>
    <s v="1/15/2019"/>
    <n v="0"/>
    <n v="2"/>
    <n v="37"/>
    <n v="11"/>
    <s v="Actif"/>
    <s v="30-44 ans"/>
    <x v="1"/>
    <x v="0"/>
  </r>
  <r>
    <s v="Sloan  Constance"/>
    <n v="10095"/>
    <n v="0"/>
    <n v="0"/>
    <n v="0"/>
    <n v="5"/>
    <n v="5"/>
    <n v="3"/>
    <n v="0"/>
    <n v="63878"/>
    <n v="1"/>
    <n v="20"/>
    <s v="Production Technician II"/>
    <s v="MA"/>
    <n v="1851"/>
    <d v="1987-11-25T00:00:00"/>
    <s v="F"/>
    <s v="Single"/>
    <s v="US Citizen"/>
    <s v="No"/>
    <x v="0"/>
    <d v="2009-10-26T00:00:00"/>
    <d v="2015-08-04T00:00:00"/>
    <s v="maternity leave - did not return"/>
    <s v="Voluntarily Terminated"/>
    <x v="0"/>
    <s v="Michael Albert"/>
    <n v="22"/>
    <x v="6"/>
    <s v="Fully Meets"/>
    <s v="4.68"/>
    <n v="4"/>
    <n v="0"/>
    <n v="42039"/>
    <n v="0"/>
    <n v="20"/>
    <n v="38"/>
    <n v="5"/>
    <s v="Involontaire"/>
    <s v="30-44 ans"/>
    <x v="1"/>
    <x v="1"/>
  </r>
  <r>
    <s v="Smith  Joe"/>
    <n v="10027"/>
    <n v="0"/>
    <n v="0"/>
    <n v="1"/>
    <n v="1"/>
    <n v="5"/>
    <n v="4"/>
    <n v="0"/>
    <n v="60656"/>
    <n v="0"/>
    <n v="20"/>
    <s v="Production Technician II"/>
    <s v="MA"/>
    <n v="2045"/>
    <d v="1963-10-30T00:00:00"/>
    <s v="M "/>
    <s v="Single"/>
    <s v="US Citizen"/>
    <s v="No"/>
    <x v="0"/>
    <d v="2014-09-29T00:00:00"/>
    <m/>
    <s v="N/A-StillEmployed"/>
    <s v="Active"/>
    <x v="0"/>
    <s v="Elijiah Gray"/>
    <n v="16"/>
    <x v="1"/>
    <s v="Exceeds"/>
    <s v="4.30"/>
    <n v="3"/>
    <n v="0"/>
    <s v="1/28/2019"/>
    <n v="0"/>
    <n v="4"/>
    <n v="62"/>
    <n v="11"/>
    <s v="Actif"/>
    <s v="60 ans et plus"/>
    <x v="0"/>
    <x v="0"/>
  </r>
  <r>
    <s v="Smith  John"/>
    <n v="10291"/>
    <n v="0"/>
    <n v="2"/>
    <n v="1"/>
    <n v="1"/>
    <n v="6"/>
    <n v="2"/>
    <n v="1"/>
    <n v="72992"/>
    <n v="0"/>
    <n v="21"/>
    <s v="Sales Manager"/>
    <s v="MA"/>
    <n v="1886"/>
    <d v="1984-08-16T00:00:00"/>
    <s v="M "/>
    <s v="Divorced"/>
    <s v="US Citizen"/>
    <s v="No"/>
    <x v="1"/>
    <d v="2014-05-18T00:00:00"/>
    <m/>
    <s v="N/A-StillEmployed"/>
    <s v="Active"/>
    <x v="4"/>
    <s v="Debra Houlihan"/>
    <n v="15"/>
    <x v="4"/>
    <s v="Needs Improvement"/>
    <s v="2.40"/>
    <n v="4"/>
    <n v="0"/>
    <s v="1/16/2019"/>
    <n v="2"/>
    <n v="16"/>
    <n v="41"/>
    <n v="11"/>
    <s v="Actif"/>
    <s v="30-44 ans"/>
    <x v="2"/>
    <x v="1"/>
  </r>
  <r>
    <s v="Smith  Leigh Ann"/>
    <n v="10153"/>
    <n v="1"/>
    <n v="1"/>
    <n v="0"/>
    <n v="5"/>
    <n v="1"/>
    <n v="3"/>
    <n v="1"/>
    <n v="55000"/>
    <n v="1"/>
    <n v="2"/>
    <s v="Administrative Assistant"/>
    <s v="MA"/>
    <n v="1844"/>
    <d v="1987-06-14T00:00:00"/>
    <s v="F"/>
    <s v="Married"/>
    <s v="US Citizen"/>
    <s v="No"/>
    <x v="1"/>
    <d v="2011-09-26T00:00:00"/>
    <d v="2013-09-25T00:00:00"/>
    <s v="career change"/>
    <s v="Voluntarily Terminated"/>
    <x v="3"/>
    <s v="Brandon R. LeBlanc"/>
    <n v="1"/>
    <x v="4"/>
    <s v="Fully Meets"/>
    <s v="3.80"/>
    <n v="4"/>
    <n v="4"/>
    <s v="8/15/2013"/>
    <n v="0"/>
    <n v="17"/>
    <n v="38"/>
    <n v="1"/>
    <s v="Volontaire"/>
    <s v="30-44 ans"/>
    <x v="1"/>
    <x v="1"/>
  </r>
  <r>
    <s v="Smith  Sade"/>
    <n v="10157"/>
    <n v="0"/>
    <n v="0"/>
    <n v="0"/>
    <n v="1"/>
    <n v="5"/>
    <n v="3"/>
    <n v="0"/>
    <n v="58939"/>
    <n v="0"/>
    <n v="19"/>
    <s v="Production Technician I"/>
    <s v="MA"/>
    <n v="2130"/>
    <d v="1965-02-02T00:00:00"/>
    <s v="F"/>
    <s v="Single"/>
    <s v="US Citizen"/>
    <s v="No"/>
    <x v="0"/>
    <d v="2013-11-11T00:00:00"/>
    <m/>
    <s v="N/A-StillEmployed"/>
    <s v="Active"/>
    <x v="0"/>
    <s v="Ketsia Liebig"/>
    <n v="19"/>
    <x v="3"/>
    <s v="Fully Meets"/>
    <s v="3.73"/>
    <n v="3"/>
    <n v="0"/>
    <s v="1/24/2019"/>
    <n v="0"/>
    <n v="16"/>
    <n v="61"/>
    <n v="12"/>
    <s v="Actif"/>
    <s v="60 ans et plus"/>
    <x v="1"/>
    <x v="1"/>
  </r>
  <r>
    <s v="Soto  Julia "/>
    <n v="10119"/>
    <n v="1"/>
    <n v="1"/>
    <n v="0"/>
    <n v="1"/>
    <n v="3"/>
    <n v="3"/>
    <n v="0"/>
    <n v="66593"/>
    <n v="0"/>
    <n v="14"/>
    <s v="IT Support"/>
    <s v="MA"/>
    <n v="2360"/>
    <d v="1973-12-03T00:00:00"/>
    <s v="F"/>
    <s v="Married"/>
    <s v="US Citizen"/>
    <s v="No"/>
    <x v="1"/>
    <d v="2011-10-06T00:00:00"/>
    <m/>
    <s v="N/A-StillEmployed"/>
    <s v="Active"/>
    <x v="1"/>
    <s v="Eric Dougall"/>
    <n v="6"/>
    <x v="0"/>
    <s v="Fully Meets"/>
    <s v="4.30"/>
    <n v="3"/>
    <n v="5"/>
    <n v="43679"/>
    <n v="0"/>
    <n v="19"/>
    <n v="52"/>
    <n v="14"/>
    <s v="Actif"/>
    <s v="45-59 ans"/>
    <x v="1"/>
    <x v="1"/>
  </r>
  <r>
    <s v="Soze  Keyser"/>
    <n v="10180"/>
    <n v="1"/>
    <n v="1"/>
    <n v="1"/>
    <n v="2"/>
    <n v="3"/>
    <n v="3"/>
    <n v="0"/>
    <n v="87565"/>
    <n v="0"/>
    <n v="28"/>
    <s v="Sr. Network Engineer"/>
    <s v="MA"/>
    <n v="1545"/>
    <d v="1983-09-02T00:00:00"/>
    <s v="M "/>
    <s v="Married"/>
    <s v="US Citizen"/>
    <s v="No"/>
    <x v="3"/>
    <d v="2016-06-30T00:00:00"/>
    <m/>
    <s v="N/A-StillEmployed"/>
    <s v="Active"/>
    <x v="1"/>
    <s v="Peter Monroe"/>
    <n v="7"/>
    <x v="0"/>
    <s v="Fully Meets"/>
    <s v="3.27"/>
    <n v="4"/>
    <n v="5"/>
    <s v="1/14/2019"/>
    <n v="0"/>
    <n v="13"/>
    <n v="42"/>
    <n v="9"/>
    <s v="Actif"/>
    <s v="30-44 ans"/>
    <x v="1"/>
    <x v="1"/>
  </r>
  <r>
    <s v="Sparks  Taylor  "/>
    <n v="10302"/>
    <n v="1"/>
    <n v="1"/>
    <n v="0"/>
    <n v="1"/>
    <n v="5"/>
    <n v="1"/>
    <n v="0"/>
    <n v="64021"/>
    <n v="0"/>
    <n v="19"/>
    <s v="Production Technician I"/>
    <s v="MA"/>
    <n v="2093"/>
    <d v="1968-07-20T00:00:00"/>
    <s v="F"/>
    <s v="Married"/>
    <s v="US Citizen"/>
    <s v="No"/>
    <x v="0"/>
    <d v="2012-02-20T00:00:00"/>
    <m/>
    <s v="N/A-StillEmployed"/>
    <s v="Active"/>
    <x v="0"/>
    <s v="Brannon Miller"/>
    <n v="12"/>
    <x v="1"/>
    <s v="PIP"/>
    <s v="2.40"/>
    <n v="2"/>
    <n v="1"/>
    <s v="2/25/2019"/>
    <n v="6"/>
    <n v="20"/>
    <n v="57"/>
    <n v="14"/>
    <s v="Actif"/>
    <s v="45-59 ans"/>
    <x v="3"/>
    <x v="1"/>
  </r>
  <r>
    <s v="Spirea  Kelley"/>
    <n v="10090"/>
    <n v="1"/>
    <n v="1"/>
    <n v="0"/>
    <n v="1"/>
    <n v="5"/>
    <n v="3"/>
    <n v="0"/>
    <n v="65714"/>
    <n v="0"/>
    <n v="18"/>
    <s v="Production Manager"/>
    <s v="MA"/>
    <n v="2451"/>
    <d v="1975-09-30T00:00:00"/>
    <s v="F"/>
    <s v="Married"/>
    <s v="US Citizen"/>
    <s v="No"/>
    <x v="0"/>
    <d v="2012-02-10T00:00:00"/>
    <m/>
    <s v="N/A-StillEmployed"/>
    <s v="Active"/>
    <x v="0"/>
    <s v="Janet King"/>
    <n v="2"/>
    <x v="0"/>
    <s v="Fully Meets"/>
    <s v="4.83"/>
    <n v="5"/>
    <n v="0"/>
    <s v="2/14/2019"/>
    <n v="0"/>
    <n v="15"/>
    <n v="50"/>
    <n v="14"/>
    <s v="Actif"/>
    <s v="45-59 ans"/>
    <x v="1"/>
    <x v="1"/>
  </r>
  <r>
    <s v="Squatrito  Kristen"/>
    <n v="10030"/>
    <n v="0"/>
    <n v="2"/>
    <n v="0"/>
    <n v="5"/>
    <n v="5"/>
    <n v="4"/>
    <n v="0"/>
    <n v="62425"/>
    <n v="1"/>
    <n v="19"/>
    <s v="Production Technician I"/>
    <s v="MA"/>
    <n v="2359"/>
    <d v="1973-03-26T00:00:00"/>
    <s v="F"/>
    <s v="Divorced"/>
    <s v="US Citizen"/>
    <s v="No"/>
    <x v="0"/>
    <d v="2013-05-13T00:00:00"/>
    <d v="2015-06-29T00:00:00"/>
    <s v="unhappy"/>
    <s v="Voluntarily Terminated"/>
    <x v="0"/>
    <s v="David Stanley"/>
    <n v="14"/>
    <x v="0"/>
    <s v="Exceeds"/>
    <s v="4.10"/>
    <n v="4"/>
    <n v="0"/>
    <n v="42038"/>
    <n v="0"/>
    <n v="16"/>
    <n v="53"/>
    <n v="2"/>
    <s v="Volontaire"/>
    <s v="45-59 ans"/>
    <x v="0"/>
    <x v="1"/>
  </r>
  <r>
    <s v="Stanford Barbara  M"/>
    <n v="10278"/>
    <n v="0"/>
    <n v="2"/>
    <n v="0"/>
    <n v="1"/>
    <n v="5"/>
    <n v="3"/>
    <n v="0"/>
    <n v="47961"/>
    <n v="0"/>
    <n v="19"/>
    <s v="Production Technician I"/>
    <s v="MA"/>
    <n v="2050"/>
    <d v="1982-08-25T00:00:00"/>
    <s v="F"/>
    <s v="Divorced"/>
    <s v="US Citizen"/>
    <s v="No"/>
    <x v="2"/>
    <d v="2011-10-01T00:00:00"/>
    <m/>
    <s v="N/A-StillEmployed"/>
    <s v="Active"/>
    <x v="0"/>
    <s v="Kissy Sullivan"/>
    <n v="20"/>
    <x v="2"/>
    <s v="Fully Meets"/>
    <s v="4.10"/>
    <n v="4"/>
    <n v="0"/>
    <n v="43648"/>
    <n v="0"/>
    <n v="9"/>
    <n v="43"/>
    <n v="14"/>
    <s v="Actif"/>
    <s v="30-44 ans"/>
    <x v="1"/>
    <x v="0"/>
  </r>
  <r>
    <s v="Stansfield  Norman"/>
    <n v="10307"/>
    <n v="1"/>
    <n v="1"/>
    <n v="1"/>
    <n v="1"/>
    <n v="6"/>
    <n v="1"/>
    <n v="0"/>
    <n v="58273"/>
    <n v="0"/>
    <n v="3"/>
    <s v="Area Sales Manager"/>
    <s v="NV"/>
    <n v="89139"/>
    <d v="1974-09-05T00:00:00"/>
    <s v="M "/>
    <s v="Married"/>
    <s v="US Citizen"/>
    <s v="No"/>
    <x v="0"/>
    <d v="2014-12-05T00:00:00"/>
    <m/>
    <s v="N/A-StillEmployed"/>
    <s v="Active"/>
    <x v="4"/>
    <s v="Lynn Daneault"/>
    <n v="21"/>
    <x v="7"/>
    <s v="PIP"/>
    <s v="1.81"/>
    <n v="2"/>
    <n v="0"/>
    <s v="1/17/2019"/>
    <n v="3"/>
    <n v="5"/>
    <n v="51"/>
    <n v="11"/>
    <s v="Actif"/>
    <s v="45-59 ans"/>
    <x v="3"/>
    <x v="0"/>
  </r>
  <r>
    <s v="Steans  Tyrone  "/>
    <n v="10147"/>
    <n v="0"/>
    <n v="0"/>
    <n v="1"/>
    <n v="1"/>
    <n v="1"/>
    <n v="3"/>
    <n v="0"/>
    <n v="63003"/>
    <n v="0"/>
    <n v="1"/>
    <s v="Accountant I"/>
    <s v="MA"/>
    <n v="2703"/>
    <d v="1986-01-09T00:00:00"/>
    <s v="M "/>
    <s v="Single"/>
    <s v="US Citizen"/>
    <s v="No"/>
    <x v="0"/>
    <d v="2014-09-29T00:00:00"/>
    <m/>
    <s v="N/A-StillEmployed"/>
    <s v="Active"/>
    <x v="3"/>
    <s v="Brandon R. LeBlanc"/>
    <n v="1"/>
    <x v="1"/>
    <s v="Fully Meets"/>
    <s v="3.90"/>
    <n v="5"/>
    <n v="5"/>
    <s v="1/18/2019"/>
    <n v="0"/>
    <n v="9"/>
    <n v="40"/>
    <n v="11"/>
    <s v="Actif"/>
    <s v="30-44 ans"/>
    <x v="1"/>
    <x v="0"/>
  </r>
  <r>
    <s v="Stoica  Rick"/>
    <n v="10266"/>
    <n v="1"/>
    <n v="1"/>
    <n v="1"/>
    <n v="1"/>
    <n v="5"/>
    <n v="3"/>
    <n v="0"/>
    <n v="61355"/>
    <n v="0"/>
    <n v="19"/>
    <s v="Production Technician I"/>
    <s v="MA"/>
    <n v="2301"/>
    <d v="1985-03-14T00:00:00"/>
    <s v="M "/>
    <s v="Married"/>
    <s v="US Citizen"/>
    <s v="No"/>
    <x v="3"/>
    <d v="2014-02-17T00:00:00"/>
    <m/>
    <s v="N/A-StillEmployed"/>
    <s v="Active"/>
    <x v="0"/>
    <s v="Kelley Spirea"/>
    <n v="18"/>
    <x v="0"/>
    <s v="Fully Meets"/>
    <s v="4.70"/>
    <n v="3"/>
    <n v="0"/>
    <n v="43770"/>
    <n v="0"/>
    <n v="4"/>
    <n v="41"/>
    <n v="12"/>
    <s v="Actif"/>
    <s v="30-44 ans"/>
    <x v="1"/>
    <x v="0"/>
  </r>
  <r>
    <s v="Strong  Caitrin"/>
    <n v="10241"/>
    <n v="1"/>
    <n v="1"/>
    <n v="0"/>
    <n v="1"/>
    <n v="6"/>
    <n v="3"/>
    <n v="0"/>
    <n v="60120"/>
    <n v="0"/>
    <n v="3"/>
    <s v="Area Sales Manager"/>
    <s v="MT"/>
    <n v="59102"/>
    <d v="1989-12-05T00:00:00"/>
    <s v="F"/>
    <s v="Married"/>
    <s v="US Citizen"/>
    <s v="No"/>
    <x v="1"/>
    <d v="2010-09-27T00:00:00"/>
    <m/>
    <s v="N/A-StillEmployed"/>
    <s v="Active"/>
    <x v="4"/>
    <s v="John Smith"/>
    <n v="17"/>
    <x v="1"/>
    <s v="Fully Meets"/>
    <s v="4.10"/>
    <n v="4"/>
    <n v="0"/>
    <s v="1/31/2019"/>
    <n v="0"/>
    <n v="18"/>
    <n v="36"/>
    <n v="15"/>
    <s v="Actif"/>
    <s v="30-44 ans"/>
    <x v="1"/>
    <x v="1"/>
  </r>
  <r>
    <s v="Sullivan  Kissy "/>
    <n v="10158"/>
    <n v="1"/>
    <n v="1"/>
    <n v="0"/>
    <n v="1"/>
    <n v="5"/>
    <n v="3"/>
    <n v="0"/>
    <n v="63682"/>
    <n v="0"/>
    <n v="18"/>
    <s v="Production Manager"/>
    <s v="MA"/>
    <n v="1776"/>
    <d v="1978-03-28T00:00:00"/>
    <s v="F"/>
    <s v="Married"/>
    <s v="US Citizen"/>
    <s v="No"/>
    <x v="1"/>
    <d v="2009-08-01T00:00:00"/>
    <m/>
    <s v="N/A-StillEmployed"/>
    <s v="Active"/>
    <x v="0"/>
    <s v="Janet King"/>
    <n v="2"/>
    <x v="1"/>
    <s v="Fully Meets"/>
    <s v="3.73"/>
    <n v="4"/>
    <n v="0"/>
    <s v="1/24/2019"/>
    <n v="0"/>
    <n v="12"/>
    <n v="48"/>
    <n v="16"/>
    <s v="Actif"/>
    <s v="45-59 ans"/>
    <x v="1"/>
    <x v="1"/>
  </r>
  <r>
    <s v="Sullivan  Timothy"/>
    <n v="10117"/>
    <n v="1"/>
    <n v="1"/>
    <n v="1"/>
    <n v="1"/>
    <n v="5"/>
    <n v="3"/>
    <n v="0"/>
    <n v="63025"/>
    <n v="0"/>
    <n v="19"/>
    <s v="Production Technician I"/>
    <s v="MA"/>
    <n v="2747"/>
    <d v="1982-07-10T00:00:00"/>
    <s v="M "/>
    <s v="Married"/>
    <s v="US Citizen"/>
    <s v="Yes"/>
    <x v="0"/>
    <d v="2015-05-01T00:00:00"/>
    <m/>
    <s v="N/A-StillEmployed"/>
    <s v="Active"/>
    <x v="0"/>
    <s v="Michael Albert"/>
    <n v="22"/>
    <x v="2"/>
    <s v="Fully Meets"/>
    <s v="4.36"/>
    <n v="5"/>
    <n v="0"/>
    <s v="1/24/2019"/>
    <n v="0"/>
    <n v="10"/>
    <n v="43"/>
    <n v="10"/>
    <s v="Actif"/>
    <s v="30-44 ans"/>
    <x v="1"/>
    <x v="0"/>
  </r>
  <r>
    <s v="Sutwell  Barbara"/>
    <n v="10209"/>
    <n v="0"/>
    <n v="0"/>
    <n v="0"/>
    <n v="1"/>
    <n v="5"/>
    <n v="3"/>
    <n v="0"/>
    <n v="59238"/>
    <n v="0"/>
    <n v="19"/>
    <s v="Production Technician I"/>
    <s v="MA"/>
    <n v="2718"/>
    <d v="1968-08-15T00:00:00"/>
    <s v="F"/>
    <s v="Single"/>
    <s v="Eligible NonCitizen"/>
    <s v="No"/>
    <x v="3"/>
    <d v="2012-05-14T00:00:00"/>
    <m/>
    <s v="N/A-StillEmployed"/>
    <s v="Active"/>
    <x v="0"/>
    <s v="Elijiah Gray"/>
    <n v="16"/>
    <x v="1"/>
    <s v="Fully Meets"/>
    <s v="3.40"/>
    <n v="5"/>
    <n v="0"/>
    <s v="1/31/2019"/>
    <n v="0"/>
    <n v="13"/>
    <n v="57"/>
    <n v="13"/>
    <s v="Actif"/>
    <s v="45-59 ans"/>
    <x v="1"/>
    <x v="1"/>
  </r>
  <r>
    <s v="Szabo  Andrew"/>
    <n v="10024"/>
    <n v="0"/>
    <n v="0"/>
    <n v="1"/>
    <n v="1"/>
    <n v="4"/>
    <n v="4"/>
    <n v="0"/>
    <n v="92989"/>
    <n v="0"/>
    <n v="24"/>
    <s v="Software Engineer"/>
    <s v="MA"/>
    <n v="2140"/>
    <d v="1983-06-05T00:00:00"/>
    <s v="M "/>
    <s v="Single"/>
    <s v="US Citizen"/>
    <s v="No"/>
    <x v="0"/>
    <d v="2014-07-07T00:00:00"/>
    <m/>
    <s v="N/A-StillEmployed"/>
    <s v="Active"/>
    <x v="2"/>
    <s v="Alex Sweetwater"/>
    <n v="10"/>
    <x v="0"/>
    <s v="Exceeds"/>
    <s v="4.50"/>
    <n v="5"/>
    <n v="5"/>
    <s v="2/18/2019"/>
    <n v="0"/>
    <n v="1"/>
    <n v="42"/>
    <n v="11"/>
    <s v="Actif"/>
    <s v="30-44 ans"/>
    <x v="0"/>
    <x v="0"/>
  </r>
  <r>
    <s v="Tannen  Biff"/>
    <n v="10173"/>
    <n v="1"/>
    <n v="1"/>
    <n v="1"/>
    <n v="1"/>
    <n v="3"/>
    <n v="3"/>
    <n v="0"/>
    <n v="90100"/>
    <n v="0"/>
    <n v="4"/>
    <s v="BI Developer"/>
    <s v="MA"/>
    <n v="2134"/>
    <d v="1987-10-24T00:00:00"/>
    <s v="M "/>
    <s v="Married"/>
    <s v="US Citizen"/>
    <s v="No"/>
    <x v="0"/>
    <d v="2017-04-20T00:00:00"/>
    <m/>
    <s v="N/A-StillEmployed"/>
    <s v="Active"/>
    <x v="1"/>
    <s v="Brian Champaigne"/>
    <n v="13"/>
    <x v="1"/>
    <s v="Fully Meets"/>
    <s v="3.40"/>
    <n v="3"/>
    <n v="6"/>
    <n v="43497"/>
    <n v="0"/>
    <n v="14"/>
    <n v="38"/>
    <n v="8"/>
    <s v="Actif"/>
    <s v="30-44 ans"/>
    <x v="1"/>
    <x v="1"/>
  </r>
  <r>
    <s v="Tavares  Desiree  "/>
    <n v="10221"/>
    <n v="1"/>
    <n v="1"/>
    <n v="0"/>
    <n v="5"/>
    <n v="5"/>
    <n v="3"/>
    <n v="1"/>
    <n v="60754"/>
    <n v="1"/>
    <n v="19"/>
    <s v="Production Technician I"/>
    <s v="MA"/>
    <n v="1801"/>
    <d v="1975-03-04T00:00:00"/>
    <s v="F"/>
    <s v="Married"/>
    <s v="Non-Citizen"/>
    <s v="No"/>
    <x v="1"/>
    <d v="2009-04-27T00:00:00"/>
    <d v="2013-01-04T00:00:00"/>
    <s v="Another position"/>
    <s v="Voluntarily Terminated"/>
    <x v="0"/>
    <s v="Webster Butler"/>
    <n v="39"/>
    <x v="4"/>
    <s v="Fully Meets"/>
    <s v="4.50"/>
    <n v="5"/>
    <n v="0"/>
    <s v="2/15/2012"/>
    <n v="0"/>
    <n v="11"/>
    <n v="51"/>
    <n v="3"/>
    <s v="Volontaire"/>
    <s v="45-59 ans"/>
    <x v="1"/>
    <x v="1"/>
  </r>
  <r>
    <s v="Tejeda  Lenora "/>
    <n v="10146"/>
    <n v="1"/>
    <n v="1"/>
    <n v="0"/>
    <n v="5"/>
    <n v="5"/>
    <n v="3"/>
    <n v="0"/>
    <n v="72202"/>
    <n v="1"/>
    <n v="20"/>
    <s v="Production Technician II"/>
    <s v="MA"/>
    <n v="2129"/>
    <d v="1953-05-24T00:00:00"/>
    <s v="F"/>
    <s v="Married"/>
    <s v="US Citizen"/>
    <s v="No"/>
    <x v="0"/>
    <d v="2011-05-16T00:00:00"/>
    <d v="2017-08-07T00:00:00"/>
    <s v="Another position"/>
    <s v="Voluntarily Terminated"/>
    <x v="0"/>
    <s v="Elijiah Gray"/>
    <n v="16"/>
    <x v="2"/>
    <s v="Fully Meets"/>
    <s v="3.93"/>
    <n v="3"/>
    <n v="0"/>
    <s v="4/18/2017"/>
    <n v="0"/>
    <n v="3"/>
    <n v="72"/>
    <n v="6"/>
    <s v="Volontaire"/>
    <s v="60 ans et plus"/>
    <x v="1"/>
    <x v="0"/>
  </r>
  <r>
    <s v="Terry  Sharlene "/>
    <n v="10161"/>
    <n v="0"/>
    <n v="0"/>
    <n v="0"/>
    <n v="1"/>
    <n v="6"/>
    <n v="3"/>
    <n v="0"/>
    <n v="58370"/>
    <n v="0"/>
    <n v="3"/>
    <s v="Area Sales Manager"/>
    <s v="OR"/>
    <n v="97756"/>
    <d v="1965-07-05T00:00:00"/>
    <s v="F"/>
    <s v="Single"/>
    <s v="US Citizen"/>
    <s v="No"/>
    <x v="1"/>
    <d v="2014-09-29T00:00:00"/>
    <m/>
    <s v="N/A-StillEmployed"/>
    <s v="Active"/>
    <x v="4"/>
    <s v="Lynn Daneault"/>
    <n v="21"/>
    <x v="1"/>
    <s v="Fully Meets"/>
    <s v="3.69"/>
    <n v="3"/>
    <n v="0"/>
    <s v="1/28/2019"/>
    <n v="0"/>
    <n v="18"/>
    <n v="60"/>
    <n v="11"/>
    <s v="Actif"/>
    <s v="60 ans et plus"/>
    <x v="1"/>
    <x v="1"/>
  </r>
  <r>
    <s v="Theamstern  Sophia"/>
    <n v="10141"/>
    <n v="0"/>
    <n v="0"/>
    <n v="0"/>
    <n v="5"/>
    <n v="5"/>
    <n v="3"/>
    <n v="0"/>
    <n v="48413"/>
    <n v="1"/>
    <n v="19"/>
    <s v="Production Technician I"/>
    <s v="MA"/>
    <n v="2066"/>
    <d v="1965-09-05T00:00:00"/>
    <s v="F"/>
    <s v="Single"/>
    <s v="US Citizen"/>
    <s v="No"/>
    <x v="0"/>
    <d v="2011-05-07T00:00:00"/>
    <d v="2016-05-09T00:00:00"/>
    <s v="return to school"/>
    <s v="Voluntarily Terminated"/>
    <x v="0"/>
    <s v="Amy Dunn"/>
    <n v="11"/>
    <x v="1"/>
    <s v="Fully Meets"/>
    <s v="3.98"/>
    <n v="4"/>
    <n v="0"/>
    <n v="42403"/>
    <n v="0"/>
    <n v="1"/>
    <n v="60"/>
    <n v="5"/>
    <s v="Volontaire"/>
    <s v="60 ans et plus"/>
    <x v="1"/>
    <x v="0"/>
  </r>
  <r>
    <s v="Thibaud  Kenneth"/>
    <n v="10268"/>
    <n v="0"/>
    <n v="4"/>
    <n v="1"/>
    <n v="5"/>
    <n v="5"/>
    <n v="3"/>
    <n v="0"/>
    <n v="67176"/>
    <n v="1"/>
    <n v="20"/>
    <s v="Production Technician II"/>
    <s v="MA"/>
    <n v="2472"/>
    <d v="1975-09-16T00:00:00"/>
    <s v="M "/>
    <s v="Widowed"/>
    <s v="US Citizen"/>
    <s v="No"/>
    <x v="0"/>
    <d v="2007-06-25T00:00:00"/>
    <d v="2010-08-30T00:00:00"/>
    <s v="military"/>
    <s v="Voluntarily Terminated"/>
    <x v="0"/>
    <s v="Webster Butler"/>
    <n v="39"/>
    <x v="8"/>
    <s v="Fully Meets"/>
    <s v="4.10"/>
    <n v="4"/>
    <n v="0"/>
    <s v="7/14/2010"/>
    <n v="0"/>
    <n v="15"/>
    <n v="50"/>
    <n v="3"/>
    <s v="Volontaire"/>
    <s v="45-59 ans"/>
    <x v="1"/>
    <x v="1"/>
  </r>
  <r>
    <s v="Tippett  Jeanette"/>
    <n v="10123"/>
    <n v="0"/>
    <n v="2"/>
    <n v="0"/>
    <n v="1"/>
    <n v="5"/>
    <n v="3"/>
    <n v="0"/>
    <n v="56339"/>
    <n v="0"/>
    <n v="19"/>
    <s v="Production Technician I"/>
    <s v="MA"/>
    <n v="2093"/>
    <d v="1967-05-06T00:00:00"/>
    <s v="F"/>
    <s v="Divorced"/>
    <s v="US Citizen"/>
    <s v="No"/>
    <x v="1"/>
    <d v="2013-02-18T00:00:00"/>
    <m/>
    <s v="N/A-StillEmployed"/>
    <s v="Active"/>
    <x v="0"/>
    <s v="Brannon Miller"/>
    <n v="12"/>
    <x v="1"/>
    <s v="Fully Meets"/>
    <s v="4.21"/>
    <n v="5"/>
    <n v="0"/>
    <s v="1/14/2019"/>
    <n v="0"/>
    <n v="4"/>
    <n v="58"/>
    <n v="13"/>
    <s v="Actif"/>
    <s v="45-59 ans"/>
    <x v="1"/>
    <x v="0"/>
  </r>
  <r>
    <s v="Torrence  Jack"/>
    <n v="10013"/>
    <n v="0"/>
    <n v="3"/>
    <n v="1"/>
    <n v="1"/>
    <n v="6"/>
    <n v="4"/>
    <n v="0"/>
    <n v="64397"/>
    <n v="0"/>
    <n v="3"/>
    <s v="Area Sales Manager"/>
    <s v="ND"/>
    <n v="58782"/>
    <d v="1968-01-15T00:00:00"/>
    <s v="M "/>
    <s v="Separated"/>
    <s v="US Citizen"/>
    <s v="No"/>
    <x v="0"/>
    <d v="2006-09-01T00:00:00"/>
    <m/>
    <s v="N/A-StillEmployed"/>
    <s v="Active"/>
    <x v="4"/>
    <s v="Lynn Daneault"/>
    <n v="21"/>
    <x v="1"/>
    <s v="Exceeds"/>
    <s v="4.10"/>
    <n v="3"/>
    <n v="0"/>
    <n v="43556"/>
    <n v="0"/>
    <n v="6"/>
    <n v="58"/>
    <n v="19"/>
    <s v="Actif"/>
    <s v="45-59 ans"/>
    <x v="0"/>
    <x v="0"/>
  </r>
  <r>
    <s v="Trang  Mei"/>
    <n v="10287"/>
    <n v="0"/>
    <n v="0"/>
    <n v="0"/>
    <n v="1"/>
    <n v="5"/>
    <n v="2"/>
    <n v="0"/>
    <n v="63025"/>
    <n v="0"/>
    <n v="19"/>
    <s v="Production Technician I"/>
    <s v="MA"/>
    <n v="2021"/>
    <d v="1983-05-16T00:00:00"/>
    <s v="F"/>
    <s v="Single"/>
    <s v="US Citizen"/>
    <s v="No"/>
    <x v="0"/>
    <d v="2014-02-17T00:00:00"/>
    <m/>
    <s v="N/A-StillEmployed"/>
    <s v="Active"/>
    <x v="0"/>
    <s v="David Stanley"/>
    <n v="14"/>
    <x v="0"/>
    <s v="Needs Improvement"/>
    <s v="2.44"/>
    <n v="5"/>
    <n v="0"/>
    <n v="43771"/>
    <n v="4"/>
    <n v="18"/>
    <n v="42"/>
    <n v="12"/>
    <s v="Actif"/>
    <s v="30-44 ans"/>
    <x v="2"/>
    <x v="1"/>
  </r>
  <r>
    <s v="Tredinnick  Neville "/>
    <n v="10044"/>
    <n v="1"/>
    <n v="1"/>
    <n v="1"/>
    <n v="5"/>
    <n v="3"/>
    <n v="3"/>
    <n v="0"/>
    <n v="75281"/>
    <n v="1"/>
    <n v="15"/>
    <s v="Network Engineer"/>
    <s v="MA"/>
    <n v="1420"/>
    <d v="1988-05-05T00:00:00"/>
    <s v="M "/>
    <s v="Married"/>
    <s v="US Citizen"/>
    <s v="No"/>
    <x v="0"/>
    <d v="2015-05-01T00:00:00"/>
    <d v="2016-12-02T00:00:00"/>
    <s v="medical issues"/>
    <s v="Voluntarily Terminated"/>
    <x v="1"/>
    <s v="Peter Monroe"/>
    <n v="7"/>
    <x v="6"/>
    <s v="Fully Meets"/>
    <s v="5.00"/>
    <n v="3"/>
    <n v="5"/>
    <s v="4/15/2015"/>
    <n v="0"/>
    <n v="11"/>
    <n v="37"/>
    <n v="1"/>
    <s v="Volontaire"/>
    <s v="30-44 ans"/>
    <x v="1"/>
    <x v="1"/>
  </r>
  <r>
    <s v="True  Edward"/>
    <n v="10102"/>
    <n v="0"/>
    <n v="0"/>
    <n v="1"/>
    <n v="5"/>
    <n v="4"/>
    <n v="3"/>
    <n v="1"/>
    <n v="100416"/>
    <n v="1"/>
    <n v="24"/>
    <s v="Software Engineer"/>
    <s v="MA"/>
    <n v="2451"/>
    <d v="1983-06-14T00:00:00"/>
    <s v="M "/>
    <s v="Single"/>
    <s v="Non-Citizen"/>
    <s v="No"/>
    <x v="1"/>
    <d v="2013-02-18T00:00:00"/>
    <d v="2018-04-15T00:00:00"/>
    <s v="medical issues"/>
    <s v="Voluntarily Terminated"/>
    <x v="2"/>
    <s v="Alex Sweetwater"/>
    <n v="10"/>
    <x v="4"/>
    <s v="Fully Meets"/>
    <s v="4.60"/>
    <n v="3"/>
    <n v="4"/>
    <n v="43071"/>
    <n v="0"/>
    <n v="9"/>
    <n v="42"/>
    <n v="5"/>
    <s v="Volontaire"/>
    <s v="30-44 ans"/>
    <x v="1"/>
    <x v="0"/>
  </r>
  <r>
    <s v="Trzeciak  Cybil"/>
    <n v="10270"/>
    <n v="0"/>
    <n v="0"/>
    <n v="0"/>
    <n v="5"/>
    <n v="5"/>
    <n v="3"/>
    <n v="0"/>
    <n v="74813"/>
    <n v="1"/>
    <n v="20"/>
    <s v="Production Technician II"/>
    <s v="MA"/>
    <n v="1778"/>
    <d v="1985-03-15T00:00:00"/>
    <s v="F"/>
    <s v="Single"/>
    <s v="US Citizen"/>
    <s v="No"/>
    <x v="0"/>
    <d v="2011-10-01T00:00:00"/>
    <d v="2014-02-07T00:00:00"/>
    <s v="unhappy"/>
    <s v="Voluntarily Terminated"/>
    <x v="0"/>
    <s v="Amy Dunn"/>
    <n v="11"/>
    <x v="0"/>
    <s v="Fully Meets"/>
    <s v="4.40"/>
    <n v="3"/>
    <n v="0"/>
    <n v="41760"/>
    <n v="0"/>
    <n v="5"/>
    <n v="41"/>
    <n v="2"/>
    <s v="Volontaire"/>
    <s v="30-44 ans"/>
    <x v="1"/>
    <x v="0"/>
  </r>
  <r>
    <s v="Turpin  Jumil"/>
    <n v="10045"/>
    <n v="1"/>
    <n v="1"/>
    <n v="1"/>
    <n v="1"/>
    <n v="3"/>
    <n v="3"/>
    <n v="0"/>
    <n v="76029"/>
    <n v="0"/>
    <n v="15"/>
    <s v="Network Engineer"/>
    <s v="MA"/>
    <n v="2343"/>
    <d v="1969-03-31T00:00:00"/>
    <s v="M "/>
    <s v="Married"/>
    <s v="Eligible NonCitizen"/>
    <s v="No"/>
    <x v="0"/>
    <d v="2015-03-30T00:00:00"/>
    <m/>
    <s v="N/A-StillEmployed"/>
    <s v="Active"/>
    <x v="1"/>
    <s v="Peter Monroe"/>
    <n v="7"/>
    <x v="3"/>
    <s v="Fully Meets"/>
    <s v="5.00"/>
    <n v="4"/>
    <n v="7"/>
    <s v="1/14/2019"/>
    <n v="0"/>
    <n v="8"/>
    <n v="57"/>
    <n v="11"/>
    <s v="Actif"/>
    <s v="45-59 ans"/>
    <x v="1"/>
    <x v="0"/>
  </r>
  <r>
    <s v="Valentin Jackie"/>
    <n v="10205"/>
    <n v="1"/>
    <n v="1"/>
    <n v="0"/>
    <n v="1"/>
    <n v="6"/>
    <n v="3"/>
    <n v="0"/>
    <n v="57859"/>
    <n v="0"/>
    <n v="3"/>
    <s v="Area Sales Manager"/>
    <s v="AZ"/>
    <n v="85006"/>
    <d v="1991-05-23T00:00:00"/>
    <s v="F"/>
    <s v="Married"/>
    <s v="US Citizen"/>
    <s v="No"/>
    <x v="2"/>
    <d v="2011-05-07T00:00:00"/>
    <m/>
    <s v="N/A-StillEmployed"/>
    <s v="Active"/>
    <x v="4"/>
    <s v="John Smith"/>
    <n v="17"/>
    <x v="1"/>
    <s v="Fully Meets"/>
    <s v="2.81"/>
    <n v="3"/>
    <n v="0"/>
    <s v="1/17/2019"/>
    <n v="0"/>
    <n v="16"/>
    <n v="34"/>
    <n v="14"/>
    <s v="Actif"/>
    <s v="30-44 ans"/>
    <x v="1"/>
    <x v="1"/>
  </r>
  <r>
    <s v="Veera  Abdellah "/>
    <n v="10014"/>
    <n v="0"/>
    <n v="2"/>
    <n v="1"/>
    <n v="5"/>
    <n v="5"/>
    <n v="4"/>
    <n v="0"/>
    <n v="58523"/>
    <n v="1"/>
    <n v="19"/>
    <s v="Production Technician I"/>
    <s v="MA"/>
    <n v="2171"/>
    <d v="1987-01-31T00:00:00"/>
    <s v="M "/>
    <s v="Divorced"/>
    <s v="US Citizen"/>
    <s v="No"/>
    <x v="0"/>
    <d v="2012-08-13T00:00:00"/>
    <d v="2016-05-02T00:00:00"/>
    <s v="maternity leave - did not return"/>
    <s v="Voluntarily Terminated"/>
    <x v="0"/>
    <s v="Kissy Sullivan"/>
    <n v="20"/>
    <x v="0"/>
    <s v="Exceeds"/>
    <s v="4.50"/>
    <n v="5"/>
    <n v="0"/>
    <n v="42371"/>
    <n v="0"/>
    <n v="15"/>
    <n v="39"/>
    <n v="3"/>
    <s v="Involontaire"/>
    <s v="30-44 ans"/>
    <x v="0"/>
    <x v="1"/>
  </r>
  <r>
    <s v="Vega  Vincent"/>
    <n v="10144"/>
    <n v="0"/>
    <n v="2"/>
    <n v="1"/>
    <n v="1"/>
    <n v="5"/>
    <n v="3"/>
    <n v="0"/>
    <n v="88976"/>
    <n v="0"/>
    <n v="17"/>
    <s v="Production Manager"/>
    <s v="MA"/>
    <n v="2169"/>
    <d v="1968-10-10T00:00:00"/>
    <s v="M "/>
    <s v="Divorced"/>
    <s v="US Citizen"/>
    <s v="No"/>
    <x v="0"/>
    <d v="2011-01-08T00:00:00"/>
    <m/>
    <s v="N/A-StillEmployed"/>
    <s v="Active"/>
    <x v="0"/>
    <s v="Janet King"/>
    <n v="2"/>
    <x v="3"/>
    <s v="Fully Meets"/>
    <s v="3.93"/>
    <n v="3"/>
    <n v="0"/>
    <s v="2/27/2019"/>
    <n v="0"/>
    <n v="19"/>
    <n v="57"/>
    <n v="15"/>
    <s v="Actif"/>
    <s v="45-59 ans"/>
    <x v="1"/>
    <x v="1"/>
  </r>
  <r>
    <s v="Villanueva  Noah"/>
    <n v="10253"/>
    <n v="0"/>
    <n v="0"/>
    <n v="1"/>
    <n v="1"/>
    <n v="6"/>
    <n v="3"/>
    <n v="0"/>
    <n v="55875"/>
    <n v="0"/>
    <n v="3"/>
    <s v="Area Sales Manager"/>
    <s v="ME"/>
    <n v="4063"/>
    <d v="1989-11-07T00:00:00"/>
    <s v="M "/>
    <s v="Single"/>
    <s v="US Citizen"/>
    <s v="No"/>
    <x v="3"/>
    <d v="2012-05-03T00:00:00"/>
    <m/>
    <s v="N/A-StillEmployed"/>
    <s v="Active"/>
    <x v="4"/>
    <s v="John Smith"/>
    <n v="17"/>
    <x v="7"/>
    <s v="Fully Meets"/>
    <s v="4.50"/>
    <n v="4"/>
    <n v="0"/>
    <s v="1/18/2019"/>
    <n v="0"/>
    <n v="11"/>
    <n v="36"/>
    <n v="13"/>
    <s v="Actif"/>
    <s v="30-44 ans"/>
    <x v="1"/>
    <x v="1"/>
  </r>
  <r>
    <s v="Voldemort  Lord"/>
    <n v="10118"/>
    <n v="1"/>
    <n v="1"/>
    <n v="1"/>
    <n v="4"/>
    <n v="3"/>
    <n v="3"/>
    <n v="0"/>
    <n v="113999"/>
    <n v="1"/>
    <n v="8"/>
    <s v="Database Administrator"/>
    <s v="MA"/>
    <n v="1960"/>
    <d v="1986-07-08T00:00:00"/>
    <s v="M "/>
    <s v="Married"/>
    <s v="US Citizen"/>
    <s v="No"/>
    <x v="1"/>
    <d v="2015-02-16T00:00:00"/>
    <d v="2017-02-22T00:00:00"/>
    <s v="no-call, no-show"/>
    <s v="Terminated for Cause"/>
    <x v="1"/>
    <s v="Simon Roup"/>
    <n v="4"/>
    <x v="3"/>
    <s v="Fully Meets"/>
    <s v="4.33"/>
    <n v="3"/>
    <n v="7"/>
    <s v="2/15/2017"/>
    <n v="0"/>
    <n v="9"/>
    <n v="39"/>
    <n v="2"/>
    <s v="Involontaire"/>
    <s v="30-44 ans"/>
    <x v="1"/>
    <x v="0"/>
  </r>
  <r>
    <s v="Volk  Colleen"/>
    <n v="10022"/>
    <n v="1"/>
    <n v="1"/>
    <n v="0"/>
    <n v="4"/>
    <n v="5"/>
    <n v="4"/>
    <n v="0"/>
    <n v="49773"/>
    <n v="1"/>
    <n v="19"/>
    <s v="Production Technician I"/>
    <s v="MA"/>
    <n v="2747"/>
    <d v="1986-03-06T00:00:00"/>
    <s v="F"/>
    <s v="Married"/>
    <s v="US Citizen"/>
    <s v="No"/>
    <x v="0"/>
    <d v="2011-09-26T00:00:00"/>
    <d v="2016-08-02T00:00:00"/>
    <s v="gross misconduct"/>
    <s v="Terminated for Cause"/>
    <x v="0"/>
    <s v="Kelley Spirea"/>
    <n v="18"/>
    <x v="2"/>
    <s v="Exceeds"/>
    <s v="4.30"/>
    <n v="5"/>
    <n v="0"/>
    <n v="42006"/>
    <n v="0"/>
    <n v="18"/>
    <n v="40"/>
    <n v="4"/>
    <s v="Involontaire"/>
    <s v="30-44 ans"/>
    <x v="0"/>
    <x v="1"/>
  </r>
  <r>
    <s v="Von Massenbach  Anna"/>
    <n v="10183"/>
    <n v="0"/>
    <n v="0"/>
    <n v="0"/>
    <n v="2"/>
    <n v="5"/>
    <n v="3"/>
    <n v="0"/>
    <n v="62068"/>
    <n v="0"/>
    <n v="19"/>
    <s v="Production Technician I"/>
    <s v="MA"/>
    <n v="2124"/>
    <d v="1985-06-04T00:00:00"/>
    <s v="F"/>
    <s v="Single"/>
    <s v="US Citizen"/>
    <s v="No"/>
    <x v="0"/>
    <d v="2015-05-07T00:00:00"/>
    <m/>
    <s v="N/A-StillEmployed"/>
    <s v="Active"/>
    <x v="0"/>
    <s v="Michael Albert"/>
    <n v="22"/>
    <x v="0"/>
    <s v="Fully Meets"/>
    <s v="3.21"/>
    <n v="3"/>
    <n v="0"/>
    <s v="1/29/2019"/>
    <n v="0"/>
    <n v="7"/>
    <n v="40"/>
    <n v="10"/>
    <s v="Actif"/>
    <s v="30-44 ans"/>
    <x v="1"/>
    <x v="0"/>
  </r>
  <r>
    <s v="Walker  Roger"/>
    <n v="10190"/>
    <n v="0"/>
    <n v="0"/>
    <n v="1"/>
    <n v="1"/>
    <n v="5"/>
    <n v="3"/>
    <n v="0"/>
    <n v="66541"/>
    <n v="0"/>
    <n v="20"/>
    <s v="Production Technician II"/>
    <s v="MA"/>
    <n v="2459"/>
    <d v="1976-10-02T00:00:00"/>
    <s v="M "/>
    <s v="Single"/>
    <s v="US Citizen"/>
    <s v="No"/>
    <x v="1"/>
    <d v="2014-08-18T00:00:00"/>
    <m/>
    <s v="N/A-StillEmployed"/>
    <s v="Active"/>
    <x v="0"/>
    <s v="Ketsia Liebig"/>
    <n v="19"/>
    <x v="3"/>
    <s v="Fully Meets"/>
    <s v="3.11"/>
    <n v="5"/>
    <n v="0"/>
    <n v="43801"/>
    <n v="0"/>
    <n v="4"/>
    <n v="49"/>
    <n v="11"/>
    <s v="Actif"/>
    <s v="45-59 ans"/>
    <x v="1"/>
    <x v="0"/>
  </r>
  <r>
    <s v="Wallace  Courtney  E"/>
    <n v="10274"/>
    <n v="1"/>
    <n v="1"/>
    <n v="0"/>
    <n v="5"/>
    <n v="5"/>
    <n v="3"/>
    <n v="1"/>
    <n v="80512"/>
    <n v="1"/>
    <n v="18"/>
    <s v="Production Manager"/>
    <s v="MA"/>
    <n v="2478"/>
    <d v="1955-11-14T00:00:00"/>
    <s v="F"/>
    <s v="Married"/>
    <s v="US Citizen"/>
    <s v="No"/>
    <x v="1"/>
    <d v="2011-09-26T00:00:00"/>
    <d v="2012-02-01T00:00:00"/>
    <s v="Another position"/>
    <s v="Voluntarily Terminated"/>
    <x v="0"/>
    <s v="Janet King"/>
    <n v="2"/>
    <x v="4"/>
    <s v="Fully Meets"/>
    <s v="4.50"/>
    <n v="3"/>
    <n v="0"/>
    <n v="40940"/>
    <n v="0"/>
    <n v="5"/>
    <n v="70"/>
    <n v="0"/>
    <s v="Volontaire"/>
    <s v="60 ans et plus"/>
    <x v="1"/>
    <x v="0"/>
  </r>
  <r>
    <s v="Wallace  Theresa"/>
    <n v="10293"/>
    <n v="0"/>
    <n v="0"/>
    <n v="0"/>
    <n v="5"/>
    <n v="5"/>
    <n v="2"/>
    <n v="0"/>
    <n v="50274"/>
    <n v="1"/>
    <n v="19"/>
    <s v="Production Technician I"/>
    <s v="MA"/>
    <n v="1887"/>
    <d v="1980-02-08T00:00:00"/>
    <s v="F"/>
    <s v="Single"/>
    <s v="US Citizen"/>
    <s v="No"/>
    <x v="0"/>
    <d v="2012-08-13T00:00:00"/>
    <d v="2015-01-09T00:00:00"/>
    <s v="career change"/>
    <s v="Voluntarily Terminated"/>
    <x v="0"/>
    <s v="Elijiah Gray"/>
    <n v="16"/>
    <x v="6"/>
    <s v="Needs Improvement"/>
    <s v="2.50"/>
    <n v="3"/>
    <n v="0"/>
    <n v="41768"/>
    <n v="6"/>
    <n v="13"/>
    <n v="46"/>
    <n v="2"/>
    <s v="Volontaire"/>
    <s v="45-59 ans"/>
    <x v="2"/>
    <x v="1"/>
  </r>
  <r>
    <s v="Wang  Charlie"/>
    <n v="10172"/>
    <n v="0"/>
    <n v="0"/>
    <n v="1"/>
    <n v="1"/>
    <n v="3"/>
    <n v="3"/>
    <n v="0"/>
    <n v="84903"/>
    <n v="0"/>
    <n v="22"/>
    <s v="Senior BI Developer"/>
    <s v="MA"/>
    <n v="1887"/>
    <d v="1981-08-07T00:00:00"/>
    <s v="M "/>
    <s v="Single"/>
    <s v="US Citizen"/>
    <s v="No"/>
    <x v="3"/>
    <d v="2017-02-15T00:00:00"/>
    <m/>
    <s v="N/A-StillEmployed"/>
    <s v="Active"/>
    <x v="1"/>
    <s v="Brian Champaigne"/>
    <n v="13"/>
    <x v="1"/>
    <s v="Fully Meets"/>
    <s v="3.42"/>
    <n v="4"/>
    <n v="7"/>
    <n v="43556"/>
    <n v="0"/>
    <n v="17"/>
    <n v="44"/>
    <n v="9"/>
    <s v="Actif"/>
    <s v="30-44 ans"/>
    <x v="1"/>
    <x v="1"/>
  </r>
  <r>
    <s v="Warfield  Sarah"/>
    <n v="10127"/>
    <n v="0"/>
    <n v="4"/>
    <n v="0"/>
    <n v="1"/>
    <n v="3"/>
    <n v="3"/>
    <n v="0"/>
    <n v="107226"/>
    <n v="0"/>
    <n v="28"/>
    <s v="Sr. Network Engineer"/>
    <s v="MA"/>
    <n v="2453"/>
    <d v="1978-02-05T00:00:00"/>
    <s v="F"/>
    <s v="Widowed"/>
    <s v="US Citizen"/>
    <s v="No"/>
    <x v="3"/>
    <d v="2015-03-30T00:00:00"/>
    <m/>
    <s v="N/A-StillEmployed"/>
    <s v="Active"/>
    <x v="1"/>
    <s v="Peter Monroe"/>
    <n v="7"/>
    <x v="3"/>
    <s v="Fully Meets"/>
    <s v="4.20"/>
    <n v="4"/>
    <n v="8"/>
    <n v="43587"/>
    <n v="0"/>
    <n v="7"/>
    <n v="48"/>
    <n v="11"/>
    <s v="Actif"/>
    <s v="45-59 ans"/>
    <x v="1"/>
    <x v="0"/>
  </r>
  <r>
    <s v="Whittier  Scott"/>
    <n v="10072"/>
    <n v="0"/>
    <n v="0"/>
    <n v="1"/>
    <n v="5"/>
    <n v="5"/>
    <n v="3"/>
    <n v="0"/>
    <n v="58371"/>
    <n v="1"/>
    <n v="19"/>
    <s v="Production Technician I"/>
    <s v="MA"/>
    <n v="2030"/>
    <d v="1987-05-24T00:00:00"/>
    <s v="M "/>
    <s v="Single"/>
    <s v="US Citizen"/>
    <s v="Yes"/>
    <x v="0"/>
    <d v="2011-10-01T00:00:00"/>
    <d v="2014-05-15T00:00:00"/>
    <s v="hours"/>
    <s v="Voluntarily Terminated"/>
    <x v="0"/>
    <s v="Webster Butler"/>
    <n v="39"/>
    <x v="0"/>
    <s v="Fully Meets"/>
    <s v="5.00"/>
    <n v="5"/>
    <n v="0"/>
    <s v="5/15/2014"/>
    <n v="0"/>
    <n v="11"/>
    <n v="38"/>
    <n v="2"/>
    <s v="Involontaire"/>
    <s v="30-44 ans"/>
    <x v="1"/>
    <x v="1"/>
  </r>
  <r>
    <s v="Wilber  Barry"/>
    <n v="10048"/>
    <n v="1"/>
    <n v="1"/>
    <n v="1"/>
    <n v="5"/>
    <n v="5"/>
    <n v="3"/>
    <n v="0"/>
    <n v="55140"/>
    <n v="1"/>
    <n v="19"/>
    <s v="Production Technician I"/>
    <s v="MA"/>
    <n v="2324"/>
    <d v="1965-09-09T00:00:00"/>
    <s v="M "/>
    <s v="Married"/>
    <s v="Eligible NonCitizen"/>
    <s v="No"/>
    <x v="0"/>
    <d v="2011-05-16T00:00:00"/>
    <d v="2015-07-09T00:00:00"/>
    <s v="unhappy"/>
    <s v="Voluntarily Terminated"/>
    <x v="0"/>
    <s v="Amy Dunn"/>
    <n v="11"/>
    <x v="7"/>
    <s v="Fully Meets"/>
    <s v="5.00"/>
    <n v="3"/>
    <n v="0"/>
    <s v="2/15/2015"/>
    <n v="0"/>
    <n v="7"/>
    <n v="60"/>
    <n v="4"/>
    <s v="Volontaire"/>
    <s v="60 ans et plus"/>
    <x v="1"/>
    <x v="0"/>
  </r>
  <r>
    <s v="Wilkes  Annie"/>
    <n v="10204"/>
    <n v="0"/>
    <n v="2"/>
    <n v="0"/>
    <n v="5"/>
    <n v="5"/>
    <n v="3"/>
    <n v="0"/>
    <n v="58062"/>
    <n v="1"/>
    <n v="19"/>
    <s v="Production Technician I"/>
    <s v="MA"/>
    <n v="1876"/>
    <d v="1983-07-30T00:00:00"/>
    <s v="F"/>
    <s v="Divorced"/>
    <s v="US Citizen"/>
    <s v="No"/>
    <x v="0"/>
    <d v="2011-10-01T00:00:00"/>
    <d v="2012-05-14T00:00:00"/>
    <s v="Another position"/>
    <s v="Voluntarily Terminated"/>
    <x v="0"/>
    <s v="Ketsia Liebig"/>
    <n v="19"/>
    <x v="2"/>
    <s v="Fully Meets"/>
    <s v="3.60"/>
    <n v="5"/>
    <n v="0"/>
    <n v="40696"/>
    <n v="0"/>
    <n v="9"/>
    <n v="42"/>
    <n v="0"/>
    <s v="Volontaire"/>
    <s v="30-44 ans"/>
    <x v="1"/>
    <x v="0"/>
  </r>
  <r>
    <s v="Williams  Jacquelyn  "/>
    <n v="10264"/>
    <n v="0"/>
    <n v="0"/>
    <n v="0"/>
    <n v="5"/>
    <n v="5"/>
    <n v="3"/>
    <n v="1"/>
    <n v="59728"/>
    <n v="1"/>
    <n v="19"/>
    <s v="Production Technician I"/>
    <s v="MA"/>
    <n v="2109"/>
    <d v="1969-02-10T00:00:00"/>
    <s v="F"/>
    <s v="Single"/>
    <s v="US Citizen"/>
    <s v="Yes"/>
    <x v="1"/>
    <d v="2012-09-01T00:00:00"/>
    <d v="2015-06-27T00:00:00"/>
    <s v="relocation out of area"/>
    <s v="Voluntarily Terminated"/>
    <x v="0"/>
    <s v="Ketsia Liebig"/>
    <n v="19"/>
    <x v="4"/>
    <s v="Fully Meets"/>
    <s v="4.30"/>
    <n v="4"/>
    <n v="0"/>
    <n v="41676"/>
    <n v="0"/>
    <n v="16"/>
    <n v="57"/>
    <n v="2"/>
    <s v="Volontaire"/>
    <s v="45-59 ans"/>
    <x v="1"/>
    <x v="1"/>
  </r>
  <r>
    <s v="Winthrop  Jordan  "/>
    <n v="10033"/>
    <n v="0"/>
    <n v="0"/>
    <n v="1"/>
    <n v="5"/>
    <n v="5"/>
    <n v="4"/>
    <n v="0"/>
    <n v="70507"/>
    <n v="1"/>
    <n v="20"/>
    <s v="Production Technician II"/>
    <s v="MA"/>
    <n v="2045"/>
    <d v="1958-07-11T00:00:00"/>
    <s v="M "/>
    <s v="Single"/>
    <s v="US Citizen"/>
    <s v="No"/>
    <x v="0"/>
    <d v="2013-07-01T00:00:00"/>
    <d v="2016-02-21T00:00:00"/>
    <s v="retiring"/>
    <s v="Voluntarily Terminated"/>
    <x v="0"/>
    <s v="Brannon Miller"/>
    <n v="12"/>
    <x v="0"/>
    <s v="Exceeds"/>
    <s v="5.00"/>
    <n v="3"/>
    <n v="0"/>
    <s v="1/19/2016"/>
    <n v="0"/>
    <n v="7"/>
    <n v="67"/>
    <n v="2"/>
    <s v="Volontaire"/>
    <s v="60 ans et plus"/>
    <x v="0"/>
    <x v="0"/>
  </r>
  <r>
    <s v="Wolk  Hang  T"/>
    <n v="10174"/>
    <n v="0"/>
    <n v="0"/>
    <n v="0"/>
    <n v="1"/>
    <n v="5"/>
    <n v="3"/>
    <n v="0"/>
    <n v="60446"/>
    <n v="0"/>
    <n v="20"/>
    <s v="Production Technician II"/>
    <s v="MA"/>
    <n v="2302"/>
    <d v="1985-04-20T00:00:00"/>
    <s v="F"/>
    <s v="Single"/>
    <s v="US Citizen"/>
    <s v="No"/>
    <x v="0"/>
    <d v="2014-09-29T00:00:00"/>
    <m/>
    <s v="N/A-StillEmployed"/>
    <s v="Active"/>
    <x v="0"/>
    <s v="David Stanley"/>
    <n v="14"/>
    <x v="0"/>
    <s v="Fully Meets"/>
    <s v="3.40"/>
    <n v="4"/>
    <n v="0"/>
    <s v="2/21/2019"/>
    <n v="0"/>
    <n v="14"/>
    <n v="40"/>
    <n v="11"/>
    <s v="Actif"/>
    <s v="30-44 ans"/>
    <x v="1"/>
    <x v="1"/>
  </r>
  <r>
    <s v="Woodson  Jason"/>
    <n v="10135"/>
    <n v="0"/>
    <n v="0"/>
    <n v="1"/>
    <n v="1"/>
    <n v="5"/>
    <n v="3"/>
    <n v="0"/>
    <n v="65893"/>
    <n v="0"/>
    <n v="20"/>
    <s v="Production Technician II"/>
    <s v="MA"/>
    <n v="1810"/>
    <d v="1985-11-05T00:00:00"/>
    <s v="M "/>
    <s v="Single"/>
    <s v="US Citizen"/>
    <s v="No"/>
    <x v="0"/>
    <d v="2014-07-07T00:00:00"/>
    <m/>
    <s v="N/A-StillEmployed"/>
    <s v="Active"/>
    <x v="0"/>
    <s v="Kissy Sullivan"/>
    <n v="20"/>
    <x v="0"/>
    <s v="Fully Meets"/>
    <s v="4.07"/>
    <n v="4"/>
    <n v="0"/>
    <s v="2/28/2019"/>
    <n v="0"/>
    <n v="13"/>
    <n v="40"/>
    <n v="11"/>
    <s v="Actif"/>
    <s v="30-44 ans"/>
    <x v="1"/>
    <x v="1"/>
  </r>
  <r>
    <s v="Ybarra  Catherine "/>
    <n v="10301"/>
    <n v="0"/>
    <n v="0"/>
    <n v="0"/>
    <n v="5"/>
    <n v="5"/>
    <n v="1"/>
    <n v="0"/>
    <n v="48513"/>
    <n v="1"/>
    <n v="19"/>
    <s v="Production Technician I"/>
    <s v="MA"/>
    <n v="2458"/>
    <d v="1982-04-05T00:00:00"/>
    <s v="F"/>
    <s v="Single"/>
    <s v="US Citizen"/>
    <s v="No"/>
    <x v="3"/>
    <d v="2008-02-09T00:00:00"/>
    <d v="2015-09-29T00:00:00"/>
    <s v="Another position"/>
    <s v="Voluntarily Terminated"/>
    <x v="0"/>
    <s v="Brannon Miller"/>
    <n v="12"/>
    <x v="2"/>
    <s v="PIP"/>
    <s v="3.20"/>
    <n v="2"/>
    <n v="0"/>
    <n v="42044"/>
    <n v="5"/>
    <n v="4"/>
    <n v="43"/>
    <n v="7"/>
    <s v="Volontaire"/>
    <s v="30-44 ans"/>
    <x v="3"/>
    <x v="0"/>
  </r>
  <r>
    <s v="Zamora  Jennifer"/>
    <n v="10010"/>
    <n v="0"/>
    <n v="0"/>
    <n v="0"/>
    <n v="1"/>
    <n v="3"/>
    <n v="4"/>
    <n v="0"/>
    <n v="220450"/>
    <n v="0"/>
    <n v="6"/>
    <s v="CIO"/>
    <s v="MA"/>
    <n v="2067"/>
    <d v="1979-08-30T00:00:00"/>
    <s v="F"/>
    <s v="Single"/>
    <s v="US Citizen"/>
    <s v="No"/>
    <x v="0"/>
    <d v="2010-10-04T00:00:00"/>
    <m/>
    <s v="N/A-StillEmployed"/>
    <s v="Active"/>
    <x v="1"/>
    <s v="Janet King"/>
    <n v="2"/>
    <x v="3"/>
    <s v="Exceeds"/>
    <s v="4.60"/>
    <n v="5"/>
    <n v="6"/>
    <s v="2/21/2019"/>
    <n v="0"/>
    <n v="16"/>
    <n v="46"/>
    <n v="15"/>
    <s v="Actif"/>
    <s v="45-59 ans"/>
    <x v="0"/>
    <x v="1"/>
  </r>
  <r>
    <s v="Zhou  Julia"/>
    <n v="10043"/>
    <n v="0"/>
    <n v="0"/>
    <n v="0"/>
    <n v="1"/>
    <n v="3"/>
    <n v="3"/>
    <n v="0"/>
    <n v="89292"/>
    <n v="0"/>
    <n v="9"/>
    <s v="Data Analyst"/>
    <s v="MA"/>
    <n v="2148"/>
    <d v="1979-02-24T00:00:00"/>
    <s v="F"/>
    <s v="Single"/>
    <s v="US Citizen"/>
    <s v="No"/>
    <x v="0"/>
    <d v="2015-03-30T00:00:00"/>
    <m/>
    <s v="N/A-StillEmployed"/>
    <s v="Active"/>
    <x v="1"/>
    <s v="Simon Roup"/>
    <n v="4"/>
    <x v="3"/>
    <s v="Fully Meets"/>
    <s v="5.00"/>
    <n v="3"/>
    <n v="5"/>
    <n v="43467"/>
    <n v="0"/>
    <n v="11"/>
    <n v="47"/>
    <n v="11"/>
    <s v="Actif"/>
    <s v="45-59 ans"/>
    <x v="1"/>
    <x v="1"/>
  </r>
  <r>
    <s v="Zima  Colleen"/>
    <n v="10271"/>
    <n v="0"/>
    <n v="4"/>
    <n v="0"/>
    <n v="1"/>
    <n v="5"/>
    <n v="3"/>
    <n v="0"/>
    <n v="45046"/>
    <n v="0"/>
    <n v="19"/>
    <s v="Production Technician I"/>
    <s v="MA"/>
    <n v="1730"/>
    <d v="1978-08-17T00:00:00"/>
    <s v="F"/>
    <s v="Widowed"/>
    <s v="US Citizen"/>
    <s v="No"/>
    <x v="3"/>
    <d v="2014-09-29T00:00:00"/>
    <m/>
    <s v="N/A-StillEmployed"/>
    <s v="Active"/>
    <x v="0"/>
    <s v="David Stanley"/>
    <n v="14"/>
    <x v="0"/>
    <s v="Fully Meets"/>
    <s v="4.50"/>
    <n v="5"/>
    <n v="0"/>
    <s v="1/30/2019"/>
    <n v="0"/>
    <n v="2"/>
    <n v="47"/>
    <n v="11"/>
    <s v="Actif"/>
    <s v="45-59 ans"/>
    <x v="1"/>
    <x v="0"/>
  </r>
  <r>
    <m/>
    <m/>
    <m/>
    <m/>
    <m/>
    <m/>
    <m/>
    <m/>
    <m/>
    <m/>
    <m/>
    <m/>
    <m/>
    <m/>
    <m/>
    <m/>
    <m/>
    <m/>
    <m/>
    <m/>
    <x v="6"/>
    <m/>
    <m/>
    <m/>
    <m/>
    <x v="6"/>
    <m/>
    <m/>
    <x v="9"/>
    <m/>
    <m/>
    <m/>
    <m/>
    <m/>
    <m/>
    <m/>
    <m/>
    <m/>
    <m/>
    <m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4C820-5B9E-4744-B920-1AE3D532335C}" name="Tableau croisé dynamique1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3:C11" firstHeaderRow="0" firstDataRow="1" firstDataCol="1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Departement" axis="axisRow" showAll="0">
      <items count="8">
        <item x="3"/>
        <item x="5"/>
        <item x="1"/>
        <item x="0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Termd2" fld="10" showDataAs="percentOfTotal" baseField="25" baseItem="0" numFmtId="10"/>
    <dataField name="Somme de Termd" fld="10" baseField="25" baseItem="0"/>
  </dataFields>
  <chartFormats count="32">
    <chartFormat chart="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25" count="1" selected="0">
            <x v="5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25" count="1" selected="0">
            <x v="6"/>
          </reference>
        </references>
      </pivotArea>
    </chartFormat>
    <chartFormat chart="5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1"/>
          </reference>
          <reference field="25" count="1" selected="0">
            <x v="0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1"/>
          </reference>
          <reference field="25" count="1" selected="0">
            <x v="1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1"/>
          </reference>
          <reference field="25" count="1" selected="0">
            <x v="2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1"/>
          </reference>
          <reference field="25" count="1" selected="0">
            <x v="3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1"/>
          </reference>
          <reference field="25" count="1" selected="0">
            <x v="4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1"/>
          </reference>
          <reference field="25" count="1" selected="0">
            <x v="5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1"/>
          </reference>
          <reference field="25" count="1" selected="0">
            <x v="6"/>
          </reference>
        </references>
      </pivotArea>
    </chartFormat>
    <chartFormat chart="9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9" format="52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9" format="53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9" format="54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9" format="55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9" format="56">
      <pivotArea type="data" outline="0" fieldPosition="0">
        <references count="2">
          <reference field="4294967294" count="1" selected="0">
            <x v="0"/>
          </reference>
          <reference field="25" count="1" selected="0">
            <x v="5"/>
          </reference>
        </references>
      </pivotArea>
    </chartFormat>
    <chartFormat chart="9" format="57">
      <pivotArea type="data" outline="0" fieldPosition="0">
        <references count="2">
          <reference field="4294967294" count="1" selected="0">
            <x v="0"/>
          </reference>
          <reference field="25" count="1" selected="0">
            <x v="6"/>
          </reference>
        </references>
      </pivotArea>
    </chartFormat>
    <chartFormat chart="9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59">
      <pivotArea type="data" outline="0" fieldPosition="0">
        <references count="2">
          <reference field="4294967294" count="1" selected="0">
            <x v="1"/>
          </reference>
          <reference field="25" count="1" selected="0">
            <x v="0"/>
          </reference>
        </references>
      </pivotArea>
    </chartFormat>
    <chartFormat chart="9" format="60">
      <pivotArea type="data" outline="0" fieldPosition="0">
        <references count="2">
          <reference field="4294967294" count="1" selected="0">
            <x v="1"/>
          </reference>
          <reference field="25" count="1" selected="0">
            <x v="1"/>
          </reference>
        </references>
      </pivotArea>
    </chartFormat>
    <chartFormat chart="9" format="61">
      <pivotArea type="data" outline="0" fieldPosition="0">
        <references count="2">
          <reference field="4294967294" count="1" selected="0">
            <x v="1"/>
          </reference>
          <reference field="25" count="1" selected="0">
            <x v="2"/>
          </reference>
        </references>
      </pivotArea>
    </chartFormat>
    <chartFormat chart="9" format="62">
      <pivotArea type="data" outline="0" fieldPosition="0">
        <references count="2">
          <reference field="4294967294" count="1" selected="0">
            <x v="1"/>
          </reference>
          <reference field="25" count="1" selected="0">
            <x v="3"/>
          </reference>
        </references>
      </pivotArea>
    </chartFormat>
    <chartFormat chart="9" format="63">
      <pivotArea type="data" outline="0" fieldPosition="0">
        <references count="2">
          <reference field="4294967294" count="1" selected="0">
            <x v="1"/>
          </reference>
          <reference field="25" count="1" selected="0">
            <x v="4"/>
          </reference>
        </references>
      </pivotArea>
    </chartFormat>
    <chartFormat chart="9" format="64">
      <pivotArea type="data" outline="0" fieldPosition="0">
        <references count="2">
          <reference field="4294967294" count="1" selected="0">
            <x v="1"/>
          </reference>
          <reference field="25" count="1" selected="0">
            <x v="5"/>
          </reference>
        </references>
      </pivotArea>
    </chartFormat>
    <chartFormat chart="9" format="65">
      <pivotArea type="data" outline="0" fieldPosition="0">
        <references count="2">
          <reference field="4294967294" count="1" selected="0">
            <x v="1"/>
          </reference>
          <reference field="2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05560-D1E4-4B9D-98D4-520A1675B8F8}" name="Tableau croisé dynamique2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oyenne de Salary" fld="9" subtotal="average" baseField="4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0E1B9-136B-4D36-B05F-205986F19B87}" name="Tableau croisé dynamique3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6"/>
        <item x="4"/>
        <item x="3"/>
        <item x="2"/>
        <item x="1"/>
        <item x="0"/>
        <item x="5"/>
        <item x="8"/>
        <item x="7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Nombre de Recrutment" fld="28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6E57B-26B0-418C-AC96-01F0E4131BCA}" name="Tableau croisé dynamique4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oyenne de Absences" fld="35" subtotal="average" baseField="4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EBE24-882D-4192-A8B2-584C278EB578}" name="Tableau croisé dynamique5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3:E12" firstHeaderRow="1" firstDataRow="2" firstDataCol="1"/>
  <pivotFields count="4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5"/>
        <item x="1"/>
        <item x="0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2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1"/>
  </colFields>
  <colItems count="4">
    <i>
      <x/>
    </i>
    <i>
      <x v="1"/>
    </i>
    <i>
      <x v="2"/>
    </i>
    <i t="grand">
      <x/>
    </i>
  </colItems>
  <dataFields count="1">
    <dataField name="Nombre de Employee_Name" fld="0" subtotal="count" showDataAs="percentOfTotal" baseField="25" baseItem="0" numFmtId="10"/>
  </dataFields>
  <chartFormats count="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41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41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4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88A7CACD-4DD4-474E-9C18-2C3E46A2A30B}" autoFormatId="16" applyNumberFormats="0" applyBorderFormats="0" applyFontFormats="0" applyPatternFormats="0" applyAlignmentFormats="0" applyWidthHeightFormats="0">
  <queryTableRefresh nextId="47" unboundColumnsRight="6">
    <queryTableFields count="42">
      <queryTableField id="1" name="Employee_Name" tableColumnId="37"/>
      <queryTableField id="2" name="EmpID" tableColumnId="2"/>
      <queryTableField id="3" name="MarriedID" tableColumnId="3"/>
      <queryTableField id="4" name="MaritalStatuID" tableColumnId="4"/>
      <queryTableField id="5" name="GenderIS" tableColumnId="5"/>
      <queryTableField id="6" name="EmpstatutID" tableColumnId="6"/>
      <queryTableField id="7" name="DeptID" tableColumnId="7"/>
      <queryTableField id="8" name="PerfScoreID" tableColumnId="8"/>
      <queryTableField id="9" name="FromDiver" tableColumnId="9"/>
      <queryTableField id="10" name="Salary" tableColumnId="10"/>
      <queryTableField id="11" name="Termd" tableColumnId="11"/>
      <queryTableField id="12" name="PositionID" tableColumnId="12"/>
      <queryTableField id="13" name="Psition" tableColumnId="13"/>
      <queryTableField id="14" name="State" tableColumnId="14"/>
      <queryTableField id="15" name="Zip" tableColumnId="15"/>
      <queryTableField id="16" name="DOB" tableColumnId="16"/>
      <queryTableField id="17" name="Sex" tableColumnId="17"/>
      <queryTableField id="18" name="MaritalDESC" tableColumnId="18"/>
      <queryTableField id="19" name="Citizedesc" tableColumnId="19"/>
      <queryTableField id="20" name="HispanicLatin" tableColumnId="20"/>
      <queryTableField id="21" name="Racedesc" tableColumnId="21"/>
      <queryTableField id="22" name="Dateofhire" tableColumnId="22"/>
      <queryTableField id="23" name="Dateoftermi" tableColumnId="23"/>
      <queryTableField id="24" name="Termreason" tableColumnId="24"/>
      <queryTableField id="25" name="Employement" tableColumnId="25"/>
      <queryTableField id="26" name="Department" tableColumnId="26"/>
      <queryTableField id="27" name="Managernat" tableColumnId="27"/>
      <queryTableField id="28" name="ManagerID" tableColumnId="28"/>
      <queryTableField id="29" name="Recrutment" tableColumnId="29"/>
      <queryTableField id="30" name="Performance" tableColumnId="30"/>
      <queryTableField id="31" name="Engagement" tableColumnId="31"/>
      <queryTableField id="32" name="EmploySatisfy" tableColumnId="32"/>
      <queryTableField id="33" name="SpecialProjet" tableColumnId="33"/>
      <queryTableField id="34" name="LastPERF" tableColumnId="34"/>
      <queryTableField id="35" name="DayLatel" tableColumnId="35"/>
      <queryTableField id="36" name="Absences" tableColumnId="36"/>
      <queryTableField id="41" dataBound="0" tableColumnId="42"/>
      <queryTableField id="42" dataBound="0" tableColumnId="43"/>
      <queryTableField id="43" dataBound="0" tableColumnId="44"/>
      <queryTableField id="44" dataBound="0" tableColumnId="45"/>
      <queryTableField id="45" dataBound="0" tableColumnId="46"/>
      <queryTableField id="46" dataBound="0" tableColumnId="4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3CC64B-7315-4AB7-BF91-8E0690990F1C}" name="Tableau1" displayName="Tableau1" ref="A1:AJ312" totalsRowShown="0">
  <autoFilter ref="A1:AJ312" xr:uid="{983CC64B-7315-4AB7-BF91-8E0690990F1C}"/>
  <tableColumns count="36">
    <tableColumn id="1" xr3:uid="{640DC71A-99C4-4551-BF6C-7049DB7D0901}" name="Employee_Name"/>
    <tableColumn id="2" xr3:uid="{AB19A76A-48BA-4ECF-9093-68279D03D3C1}" name="EmpID"/>
    <tableColumn id="3" xr3:uid="{558A0855-D45D-4F4C-8EE0-0DE7E1E9CCC0}" name="MarriedID"/>
    <tableColumn id="4" xr3:uid="{ABE521AA-94AD-4558-AC71-BE7B5219C50B}" name="MaritalStatuID"/>
    <tableColumn id="5" xr3:uid="{8EB8BAA4-4809-4922-8F2F-33B8C3741A46}" name="GenderIS"/>
    <tableColumn id="6" xr3:uid="{FBD504AA-BBAE-4CF1-A002-6BF022E0E095}" name="EmpstatutID"/>
    <tableColumn id="7" xr3:uid="{4D4A79FF-CA41-474E-8993-73DC61778123}" name="DeptID"/>
    <tableColumn id="8" xr3:uid="{941EC1E3-1352-422F-BA38-A57F2A8D6645}" name="PerfScoreID"/>
    <tableColumn id="9" xr3:uid="{49620334-423F-4DB3-954D-AB8E1E6B09F1}" name="FromDiver"/>
    <tableColumn id="10" xr3:uid="{C31A98B4-566C-4D47-B091-52B5B55432BD}" name="Salary"/>
    <tableColumn id="11" xr3:uid="{C2644901-9C87-4B74-8568-110C2F311692}" name="Termd"/>
    <tableColumn id="12" xr3:uid="{18DED23A-C044-4EAC-B175-3B269DDE1F9F}" name="PositionID"/>
    <tableColumn id="13" xr3:uid="{A7D8FEA3-8B67-4969-AF98-4041CC95CEB9}" name="Psition"/>
    <tableColumn id="14" xr3:uid="{72CCA9BA-CF63-4224-B8A6-5476F9D36435}" name="State"/>
    <tableColumn id="15" xr3:uid="{ADD456C4-C879-468D-A2FC-B1DAF7878B7F}" name="Zip"/>
    <tableColumn id="16" xr3:uid="{43CC8A85-63CA-4426-93DE-5FE2F43B632F}" name="DOB"/>
    <tableColumn id="17" xr3:uid="{87FD8CB1-93EC-4560-B3D1-6FB04905EFEB}" name="Sex"/>
    <tableColumn id="18" xr3:uid="{9D99B726-D886-413E-8E64-872F353C6F58}" name="MaritalDESC"/>
    <tableColumn id="19" xr3:uid="{81F1A3F5-2255-41C5-A3B6-6FCF5A48495D}" name="Citizedesc"/>
    <tableColumn id="20" xr3:uid="{14E18839-5559-47D4-81FD-B62BCD1C83D1}" name="HispanicLatin"/>
    <tableColumn id="21" xr3:uid="{D2C2E594-1A99-4FFE-8DBB-F2A7947DD5F1}" name="Racedesc"/>
    <tableColumn id="22" xr3:uid="{02520E3C-B81D-4D2F-9A75-2C3E5065AB94}" name="Dateofhire" dataDxfId="31"/>
    <tableColumn id="23" xr3:uid="{C9BEB089-9D51-4F35-95C2-6E91060C7A63}" name="Dateoftermi"/>
    <tableColumn id="24" xr3:uid="{E67F419A-9834-4531-A0B2-FA79ED59DCEF}" name="Termreason"/>
    <tableColumn id="25" xr3:uid="{79E32ADB-64D3-4EBE-B532-BE6BD74109A2}" name="Employement"/>
    <tableColumn id="26" xr3:uid="{3610E17C-31B7-4267-89F4-98461B3A34BD}" name="Department"/>
    <tableColumn id="27" xr3:uid="{099DAB5F-4A94-4C65-BC3A-984C3E6BB089}" name="Managernat"/>
    <tableColumn id="28" xr3:uid="{AD99C56D-87C5-4C41-BD39-704350B85C50}" name="ManagerID"/>
    <tableColumn id="29" xr3:uid="{F3326C13-F4AD-45F3-AE04-764EC6F20AF3}" name="Recrutment"/>
    <tableColumn id="30" xr3:uid="{467CE08D-443D-461D-80A8-FA419C8D2E77}" name="Performance"/>
    <tableColumn id="31" xr3:uid="{F4F557F4-EF89-4406-AE0E-1AF75DB123B0}" name="Engagement"/>
    <tableColumn id="32" xr3:uid="{98D8E498-06E9-4200-A64B-5C2F9745320F}" name="EmploySatisfy"/>
    <tableColumn id="33" xr3:uid="{60D2D224-F800-43FE-81EB-D1EF08274FE8}" name="SpecialProjet"/>
    <tableColumn id="34" xr3:uid="{7262EB26-C667-446D-8D0B-8AB4AE09A10C}" name="LastPERF"/>
    <tableColumn id="35" xr3:uid="{09FDB04C-EF18-4DD0-A28D-0DBEB6AEAE8F}" name="DayLatel"/>
    <tableColumn id="36" xr3:uid="{AE2C059B-9C86-4458-B068-CBB3DABA8C4D}" name="Absen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BCAF92-E5A6-4E75-B1FA-23C75D3299CD}" name="Tableau1_2" displayName="Tableau1_2" ref="A1:AP312" tableType="queryTable" totalsRowShown="0">
  <autoFilter ref="A1:AP312" xr:uid="{BDBCAF92-E5A6-4E75-B1FA-23C75D3299CD}"/>
  <tableColumns count="42">
    <tableColumn id="37" xr3:uid="{37438730-7FAF-4C73-9350-ED45B3A45DC1}" uniqueName="37" name="Employee_Name" queryTableFieldId="1" dataDxfId="30"/>
    <tableColumn id="2" xr3:uid="{0DB04CFB-C886-4BE5-9097-2AF273A71EC6}" uniqueName="2" name="EmpID" queryTableFieldId="2"/>
    <tableColumn id="3" xr3:uid="{4A9B24AA-A551-451A-AEFE-7B7DB334E6B1}" uniqueName="3" name="MarriedID" queryTableFieldId="3"/>
    <tableColumn id="4" xr3:uid="{961B7E51-8B0F-4938-9A4A-AE4D86DB9877}" uniqueName="4" name="MaritalStatuID" queryTableFieldId="4"/>
    <tableColumn id="5" xr3:uid="{7DA0C56F-1938-40B4-B884-05FF86E165FC}" uniqueName="5" name="GenderIS" queryTableFieldId="5"/>
    <tableColumn id="6" xr3:uid="{16C48ECC-6CEC-4C80-8F5E-EEE312714C03}" uniqueName="6" name="EmpstatutID" queryTableFieldId="6"/>
    <tableColumn id="7" xr3:uid="{69CC0221-E70C-4F02-A84F-688CBE9DD120}" uniqueName="7" name="DeptID" queryTableFieldId="7"/>
    <tableColumn id="8" xr3:uid="{EA9C7908-A2CA-4EFA-995D-9C06EB96A7E0}" uniqueName="8" name="PerfScoreID" queryTableFieldId="8"/>
    <tableColumn id="9" xr3:uid="{F62D4707-C25D-4D12-8C81-C2612C435888}" uniqueName="9" name="FromDiver" queryTableFieldId="9"/>
    <tableColumn id="10" xr3:uid="{769C86DF-BF82-467A-937C-EB7B5176D400}" uniqueName="10" name="Salary" queryTableFieldId="10"/>
    <tableColumn id="11" xr3:uid="{ADE49C8D-894A-4EB3-BA23-6135301A7BE2}" uniqueName="11" name="Termd" queryTableFieldId="11"/>
    <tableColumn id="12" xr3:uid="{65BC79D0-90CA-4111-B65D-88A8E90D5708}" uniqueName="12" name="PositionID" queryTableFieldId="12"/>
    <tableColumn id="13" xr3:uid="{EC7225F2-03B9-40C8-B42C-4561A9464288}" uniqueName="13" name="Psition" queryTableFieldId="13" dataDxfId="29"/>
    <tableColumn id="14" xr3:uid="{361B6126-BD14-4594-9168-7F6C147DA3D6}" uniqueName="14" name="State" queryTableFieldId="14" dataDxfId="28"/>
    <tableColumn id="15" xr3:uid="{C02F18D1-AA3D-4C34-969A-96BA6F2B0309}" uniqueName="15" name="Zip" queryTableFieldId="15"/>
    <tableColumn id="16" xr3:uid="{A5B59CB1-800F-4812-B506-ABAD4B02D3C0}" uniqueName="16" name="DOB" queryTableFieldId="16" dataDxfId="27"/>
    <tableColumn id="17" xr3:uid="{E6319193-464A-4D3B-9F28-16D865757369}" uniqueName="17" name="Sex" queryTableFieldId="17" dataDxfId="26"/>
    <tableColumn id="18" xr3:uid="{DF2A000C-08C0-4E27-8335-7B2D50E8AC2B}" uniqueName="18" name="MaritalDESC" queryTableFieldId="18" dataDxfId="25"/>
    <tableColumn id="19" xr3:uid="{96BB00CD-AE69-4720-BD97-798A4663C70D}" uniqueName="19" name="Citizedesc" queryTableFieldId="19" dataDxfId="24"/>
    <tableColumn id="20" xr3:uid="{01DEF315-0CFB-4747-A8CC-0FC94426C14E}" uniqueName="20" name="HispanicLatin" queryTableFieldId="20" dataDxfId="23"/>
    <tableColumn id="21" xr3:uid="{D8CF1A44-51E4-43E7-A93E-85E09FBA725B}" uniqueName="21" name="Racedesc" queryTableFieldId="21" dataDxfId="22"/>
    <tableColumn id="22" xr3:uid="{BB4FCFA3-3942-4BCC-88F2-4A6A829DF8F6}" uniqueName="22" name="Dateofhire" queryTableFieldId="22" dataDxfId="21"/>
    <tableColumn id="23" xr3:uid="{020BB184-DC80-4658-B08D-7D336DE047B3}" uniqueName="23" name="Dateoftermi" queryTableFieldId="23" dataDxfId="20"/>
    <tableColumn id="24" xr3:uid="{1703C3AB-A1A7-422C-9034-9EC02BC77FB4}" uniqueName="24" name="Termreason" queryTableFieldId="24" dataDxfId="19"/>
    <tableColumn id="25" xr3:uid="{B155EB6E-6727-4708-B7FC-0DE19E2C2434}" uniqueName="25" name="Employement" queryTableFieldId="25" dataDxfId="18"/>
    <tableColumn id="26" xr3:uid="{20017C3D-C11B-4B56-80A4-28B6CC20A801}" uniqueName="26" name="Department" queryTableFieldId="26" dataDxfId="17"/>
    <tableColumn id="27" xr3:uid="{48E58D12-023E-426A-A62B-EF314BC6B1AA}" uniqueName="27" name="Managernat" queryTableFieldId="27" dataDxfId="16"/>
    <tableColumn id="28" xr3:uid="{20EDF2AA-1E90-491D-AF80-9CB9AA9E28DF}" uniqueName="28" name="ManagerID" queryTableFieldId="28"/>
    <tableColumn id="29" xr3:uid="{07C9B650-3122-4763-B1FA-314BA1E2808A}" uniqueName="29" name="Recrutment" queryTableFieldId="29" dataDxfId="15"/>
    <tableColumn id="30" xr3:uid="{9C989B69-4B11-4D2B-878D-871CF002DE42}" uniqueName="30" name="Performance" queryTableFieldId="30" dataDxfId="14"/>
    <tableColumn id="31" xr3:uid="{673DC646-543C-45DD-BF66-B6DD53123F4D}" uniqueName="31" name="Engagement" queryTableFieldId="31" dataDxfId="13"/>
    <tableColumn id="32" xr3:uid="{D930E6AF-BC14-4382-B1E4-78FC5FF3F1E6}" uniqueName="32" name="EmploySatisfy" queryTableFieldId="32"/>
    <tableColumn id="33" xr3:uid="{2A673CB4-903A-415E-BE29-445B0E6BEC74}" uniqueName="33" name="SpecialProjet" queryTableFieldId="33"/>
    <tableColumn id="34" xr3:uid="{A1CD9BE2-A758-4032-9EB6-44E94F97B22C}" uniqueName="34" name="LastPERF" queryTableFieldId="34"/>
    <tableColumn id="35" xr3:uid="{0AC00A8D-55A0-45DB-8D55-1AFFC5FFA9B8}" uniqueName="35" name="DayLatel" queryTableFieldId="35"/>
    <tableColumn id="36" xr3:uid="{D60564D9-1898-4B34-8859-773D16D2F5F4}" uniqueName="36" name="Absences" queryTableFieldId="36"/>
    <tableColumn id="42" xr3:uid="{AA9E95FE-3BE8-4A79-AE0E-4732E2661D0A}" uniqueName="42" name="Age" queryTableFieldId="41" dataDxfId="12">
      <calculatedColumnFormula>DATEDIF(P2, TODAY(), "Y")</calculatedColumnFormula>
    </tableColumn>
    <tableColumn id="43" xr3:uid="{B1E37C3A-B7C7-4BB8-B06B-651923CFD5F6}" uniqueName="43" name="Anciennete" queryTableFieldId="42" dataDxfId="11">
      <calculatedColumnFormula>INT((IF(K2=0, TODAY(), W2) - V2) / 365.25)</calculatedColumnFormula>
    </tableColumn>
    <tableColumn id="44" xr3:uid="{8F73A1F8-CB6D-4DE3-B622-C9997E19B57F}" uniqueName="44" name="Type_depart" queryTableFieldId="43" dataDxfId="10">
      <calculatedColumnFormula>IF(K2=0, "Actif", IF(OR(X2="Another position", X2="more money", X2="unhappy", X2="career change", X2="return to school", X2="relocation out of area", X2="medical issues", X2="military", X2="retiring"), "Volontaire", "Involontaire"))</calculatedColumnFormula>
    </tableColumn>
    <tableColumn id="45" xr3:uid="{15D9F689-C5B8-4F12-9015-5B5CBEDE324C}" uniqueName="45" name="Trancge_Age" queryTableFieldId="44" dataDxfId="9">
      <calculatedColumnFormula>IF(AK2&lt;30, "Moins de 30", IF(AK2&lt;45, "30-44 ans", IF(AK2&lt;60, "45-59 ans", "60 ans et plus")))</calculatedColumnFormula>
    </tableColumn>
    <tableColumn id="46" xr3:uid="{2FE5888B-0874-43DC-AA3A-B73EECDF0D9B}" uniqueName="46" name="Groupe_PERFORMANCE" queryTableFieldId="45" dataDxfId="8">
      <calculatedColumnFormula>IF(H2=1, "PIP", IF(H2=2, "Needs Improvement", IF(H2=3, "Fully Meets", IF(H2=4, "Exceeds", "Non défini"))))</calculatedColumnFormula>
    </tableColumn>
    <tableColumn id="47" xr3:uid="{531C34CD-43E5-42C0-86E6-A999DAE99EBA}" uniqueName="47" name="Risque_départ" queryTableFieldId="46" dataDxfId="7">
      <calculatedColumnFormula>IF(AND(AE2&lt;3, AF2&lt;3, AJ2&gt;15), "CRITIQUE", IF(OR(AE2&lt;3, AJ2&gt;10), "SURVEILLER", "FAIBLE"))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EC72-92F5-403E-8BF4-5FEB683CB167}">
  <dimension ref="A1:AJ312"/>
  <sheetViews>
    <sheetView topLeftCell="AA4" zoomScale="78" zoomScaleNormal="78" workbookViewId="0">
      <selection sqref="A1:AJ312"/>
    </sheetView>
  </sheetViews>
  <sheetFormatPr baseColWidth="10" defaultRowHeight="14.5"/>
  <cols>
    <col min="1" max="1" width="23.08984375" customWidth="1"/>
    <col min="3" max="3" width="11.453125" customWidth="1"/>
    <col min="4" max="4" width="15" customWidth="1"/>
    <col min="6" max="6" width="13.26953125" customWidth="1"/>
    <col min="8" max="8" width="12.7265625" customWidth="1"/>
    <col min="9" max="9" width="11.6328125" customWidth="1"/>
    <col min="12" max="12" width="11.453125" customWidth="1"/>
    <col min="18" max="18" width="13.08984375" customWidth="1"/>
    <col min="19" max="19" width="11.1796875" customWidth="1"/>
    <col min="20" max="20" width="13.7265625" customWidth="1"/>
    <col min="22" max="22" width="11.7265625" customWidth="1"/>
    <col min="23" max="23" width="13.08984375" customWidth="1"/>
    <col min="24" max="24" width="12.81640625" customWidth="1"/>
    <col min="25" max="25" width="14.453125" customWidth="1"/>
    <col min="26" max="26" width="13.08984375" customWidth="1"/>
    <col min="27" max="27" width="12.90625" customWidth="1"/>
    <col min="28" max="28" width="12.08984375" customWidth="1"/>
    <col min="29" max="29" width="12.81640625" customWidth="1"/>
    <col min="30" max="30" width="13.54296875" customWidth="1"/>
    <col min="31" max="31" width="13.1796875" customWidth="1"/>
    <col min="32" max="32" width="14.36328125" customWidth="1"/>
    <col min="33" max="33" width="13.6328125" customWidth="1"/>
  </cols>
  <sheetData>
    <row r="1" spans="1:36">
      <c r="A1" t="s">
        <v>0</v>
      </c>
      <c r="B1" t="s">
        <v>1</v>
      </c>
      <c r="C1" t="s">
        <v>2</v>
      </c>
      <c r="D1" t="s">
        <v>587</v>
      </c>
      <c r="E1" t="s">
        <v>588</v>
      </c>
      <c r="F1" t="s">
        <v>589</v>
      </c>
      <c r="G1" t="s">
        <v>3</v>
      </c>
      <c r="H1" t="s">
        <v>4</v>
      </c>
      <c r="I1" t="s">
        <v>590</v>
      </c>
      <c r="J1" t="s">
        <v>5</v>
      </c>
      <c r="K1" t="s">
        <v>6</v>
      </c>
      <c r="L1" t="s">
        <v>7</v>
      </c>
      <c r="M1" t="s">
        <v>591</v>
      </c>
      <c r="N1" t="s">
        <v>8</v>
      </c>
      <c r="O1" t="s">
        <v>9</v>
      </c>
      <c r="P1" t="s">
        <v>10</v>
      </c>
      <c r="Q1" t="s">
        <v>11</v>
      </c>
      <c r="R1" t="s">
        <v>592</v>
      </c>
      <c r="S1" t="s">
        <v>593</v>
      </c>
      <c r="T1" t="s">
        <v>594</v>
      </c>
      <c r="U1" t="s">
        <v>595</v>
      </c>
      <c r="V1" t="s">
        <v>596</v>
      </c>
      <c r="W1" t="s">
        <v>597</v>
      </c>
      <c r="X1" t="s">
        <v>598</v>
      </c>
      <c r="Y1" t="s">
        <v>599</v>
      </c>
      <c r="Z1" t="s">
        <v>12</v>
      </c>
      <c r="AA1" t="s">
        <v>600</v>
      </c>
      <c r="AB1" t="s">
        <v>13</v>
      </c>
      <c r="AC1" t="s">
        <v>601</v>
      </c>
      <c r="AD1" t="s">
        <v>602</v>
      </c>
      <c r="AE1" t="s">
        <v>603</v>
      </c>
      <c r="AF1" t="s">
        <v>604</v>
      </c>
      <c r="AG1" t="s">
        <v>605</v>
      </c>
      <c r="AH1" t="s">
        <v>606</v>
      </c>
      <c r="AI1" t="s">
        <v>607</v>
      </c>
      <c r="AJ1" t="s">
        <v>14</v>
      </c>
    </row>
    <row r="2" spans="1:36">
      <c r="A2" t="s">
        <v>608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15</v>
      </c>
      <c r="N2" t="s">
        <v>16</v>
      </c>
      <c r="O2">
        <v>1960</v>
      </c>
      <c r="P2" s="1">
        <v>30596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s="1">
        <v>40670</v>
      </c>
      <c r="X2" t="s">
        <v>22</v>
      </c>
      <c r="Y2" t="s">
        <v>23</v>
      </c>
      <c r="Z2" t="s">
        <v>24</v>
      </c>
      <c r="AA2" t="s">
        <v>25</v>
      </c>
      <c r="AB2">
        <v>22</v>
      </c>
      <c r="AC2" t="s">
        <v>26</v>
      </c>
      <c r="AD2" t="s">
        <v>27</v>
      </c>
      <c r="AE2" t="s">
        <v>28</v>
      </c>
      <c r="AF2">
        <v>5</v>
      </c>
      <c r="AG2">
        <v>0</v>
      </c>
      <c r="AH2" t="s">
        <v>29</v>
      </c>
      <c r="AI2">
        <v>0</v>
      </c>
      <c r="AJ2">
        <v>1</v>
      </c>
    </row>
    <row r="3" spans="1:36">
      <c r="A3" t="s">
        <v>609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30</v>
      </c>
      <c r="N3" t="s">
        <v>16</v>
      </c>
      <c r="O3">
        <v>2148</v>
      </c>
      <c r="P3" s="1">
        <v>27519</v>
      </c>
      <c r="Q3" t="s">
        <v>17</v>
      </c>
      <c r="R3" t="s">
        <v>31</v>
      </c>
      <c r="S3" t="s">
        <v>19</v>
      </c>
      <c r="T3" t="s">
        <v>20</v>
      </c>
      <c r="U3" t="s">
        <v>21</v>
      </c>
      <c r="V3" t="s">
        <v>32</v>
      </c>
      <c r="W3" t="s">
        <v>33</v>
      </c>
      <c r="X3" t="s">
        <v>34</v>
      </c>
      <c r="Y3" t="s">
        <v>35</v>
      </c>
      <c r="Z3" t="s">
        <v>36</v>
      </c>
      <c r="AA3" t="s">
        <v>37</v>
      </c>
      <c r="AB3">
        <v>4</v>
      </c>
      <c r="AC3" t="s">
        <v>38</v>
      </c>
      <c r="AD3" t="s">
        <v>39</v>
      </c>
      <c r="AE3" t="s">
        <v>40</v>
      </c>
      <c r="AF3">
        <v>3</v>
      </c>
      <c r="AG3">
        <v>6</v>
      </c>
      <c r="AH3" t="s">
        <v>41</v>
      </c>
      <c r="AI3">
        <v>0</v>
      </c>
      <c r="AJ3">
        <v>17</v>
      </c>
    </row>
    <row r="4" spans="1:36">
      <c r="A4" t="s">
        <v>610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42</v>
      </c>
      <c r="N4" t="s">
        <v>16</v>
      </c>
      <c r="O4">
        <v>1810</v>
      </c>
      <c r="P4" t="s">
        <v>43</v>
      </c>
      <c r="Q4" t="s">
        <v>44</v>
      </c>
      <c r="R4" t="s">
        <v>31</v>
      </c>
      <c r="S4" t="s">
        <v>19</v>
      </c>
      <c r="T4" t="s">
        <v>20</v>
      </c>
      <c r="U4" t="s">
        <v>21</v>
      </c>
      <c r="V4" s="1">
        <v>40670</v>
      </c>
      <c r="W4" t="s">
        <v>45</v>
      </c>
      <c r="X4" t="s">
        <v>46</v>
      </c>
      <c r="Y4" t="s">
        <v>35</v>
      </c>
      <c r="Z4" t="s">
        <v>24</v>
      </c>
      <c r="AA4" t="s">
        <v>47</v>
      </c>
      <c r="AB4">
        <v>20</v>
      </c>
      <c r="AC4" t="s">
        <v>26</v>
      </c>
      <c r="AD4" t="s">
        <v>39</v>
      </c>
      <c r="AE4" t="s">
        <v>48</v>
      </c>
      <c r="AF4">
        <v>3</v>
      </c>
      <c r="AG4">
        <v>0</v>
      </c>
      <c r="AH4" t="s">
        <v>49</v>
      </c>
      <c r="AI4">
        <v>0</v>
      </c>
      <c r="AJ4">
        <v>3</v>
      </c>
    </row>
    <row r="5" spans="1:36">
      <c r="A5" t="s">
        <v>611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15</v>
      </c>
      <c r="N5" t="s">
        <v>16</v>
      </c>
      <c r="O5">
        <v>1886</v>
      </c>
      <c r="P5" t="s">
        <v>50</v>
      </c>
      <c r="Q5" t="s">
        <v>44</v>
      </c>
      <c r="R5" t="s">
        <v>31</v>
      </c>
      <c r="S5" t="s">
        <v>19</v>
      </c>
      <c r="T5" t="s">
        <v>20</v>
      </c>
      <c r="U5" t="s">
        <v>21</v>
      </c>
      <c r="V5" s="1">
        <v>39630</v>
      </c>
      <c r="X5" t="s">
        <v>22</v>
      </c>
      <c r="Y5" t="s">
        <v>23</v>
      </c>
      <c r="Z5" t="s">
        <v>24</v>
      </c>
      <c r="AA5" t="s">
        <v>51</v>
      </c>
      <c r="AB5">
        <v>16</v>
      </c>
      <c r="AC5" t="s">
        <v>38</v>
      </c>
      <c r="AD5" t="s">
        <v>39</v>
      </c>
      <c r="AE5" t="s">
        <v>52</v>
      </c>
      <c r="AF5">
        <v>5</v>
      </c>
      <c r="AG5">
        <v>0</v>
      </c>
      <c r="AH5" s="1">
        <v>43525</v>
      </c>
      <c r="AI5">
        <v>0</v>
      </c>
      <c r="AJ5">
        <v>15</v>
      </c>
    </row>
    <row r="6" spans="1:36">
      <c r="A6" t="s">
        <v>612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15</v>
      </c>
      <c r="N6" t="s">
        <v>16</v>
      </c>
      <c r="O6">
        <v>2169</v>
      </c>
      <c r="P6" s="1">
        <v>32729</v>
      </c>
      <c r="Q6" t="s">
        <v>44</v>
      </c>
      <c r="R6" t="s">
        <v>53</v>
      </c>
      <c r="S6" t="s">
        <v>19</v>
      </c>
      <c r="T6" t="s">
        <v>20</v>
      </c>
      <c r="U6" t="s">
        <v>21</v>
      </c>
      <c r="V6" s="1">
        <v>40854</v>
      </c>
      <c r="W6" s="1">
        <v>42530</v>
      </c>
      <c r="X6" t="s">
        <v>54</v>
      </c>
      <c r="Y6" t="s">
        <v>35</v>
      </c>
      <c r="Z6" t="s">
        <v>24</v>
      </c>
      <c r="AA6" t="s">
        <v>55</v>
      </c>
      <c r="AB6">
        <v>39</v>
      </c>
      <c r="AC6" t="s">
        <v>56</v>
      </c>
      <c r="AD6" t="s">
        <v>39</v>
      </c>
      <c r="AE6" t="s">
        <v>57</v>
      </c>
      <c r="AF6">
        <v>4</v>
      </c>
      <c r="AG6">
        <v>0</v>
      </c>
      <c r="AH6" s="1">
        <v>42371</v>
      </c>
      <c r="AI6">
        <v>0</v>
      </c>
      <c r="AJ6">
        <v>2</v>
      </c>
    </row>
    <row r="7" spans="1:36">
      <c r="A7" t="s">
        <v>613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15</v>
      </c>
      <c r="N7" t="s">
        <v>16</v>
      </c>
      <c r="O7">
        <v>1844</v>
      </c>
      <c r="P7" t="s">
        <v>58</v>
      </c>
      <c r="Q7" t="s">
        <v>44</v>
      </c>
      <c r="R7" t="s">
        <v>18</v>
      </c>
      <c r="S7" t="s">
        <v>19</v>
      </c>
      <c r="T7" t="s">
        <v>20</v>
      </c>
      <c r="U7" t="s">
        <v>21</v>
      </c>
      <c r="V7" s="1">
        <v>41153</v>
      </c>
      <c r="X7" t="s">
        <v>22</v>
      </c>
      <c r="Y7" t="s">
        <v>23</v>
      </c>
      <c r="Z7" t="s">
        <v>24</v>
      </c>
      <c r="AA7" t="s">
        <v>59</v>
      </c>
      <c r="AB7">
        <v>11</v>
      </c>
      <c r="AC7" t="s">
        <v>26</v>
      </c>
      <c r="AD7" t="s">
        <v>27</v>
      </c>
      <c r="AE7" t="s">
        <v>57</v>
      </c>
      <c r="AF7">
        <v>5</v>
      </c>
      <c r="AG7">
        <v>0</v>
      </c>
      <c r="AH7" s="1">
        <v>43647</v>
      </c>
      <c r="AI7">
        <v>0</v>
      </c>
      <c r="AJ7">
        <v>15</v>
      </c>
    </row>
    <row r="8" spans="1:36">
      <c r="A8" t="s">
        <v>614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60</v>
      </c>
      <c r="N8" t="s">
        <v>16</v>
      </c>
      <c r="O8">
        <v>2110</v>
      </c>
      <c r="P8" t="s">
        <v>61</v>
      </c>
      <c r="Q8" t="s">
        <v>44</v>
      </c>
      <c r="R8" t="s">
        <v>18</v>
      </c>
      <c r="S8" t="s">
        <v>19</v>
      </c>
      <c r="T8" t="s">
        <v>20</v>
      </c>
      <c r="U8" t="s">
        <v>21</v>
      </c>
      <c r="V8" s="1">
        <v>41923</v>
      </c>
      <c r="X8" t="s">
        <v>22</v>
      </c>
      <c r="Y8" t="s">
        <v>23</v>
      </c>
      <c r="Z8" t="s">
        <v>62</v>
      </c>
      <c r="AA8" t="s">
        <v>63</v>
      </c>
      <c r="AB8">
        <v>10</v>
      </c>
      <c r="AC8" t="s">
        <v>26</v>
      </c>
      <c r="AD8" t="s">
        <v>39</v>
      </c>
      <c r="AE8" t="s">
        <v>64</v>
      </c>
      <c r="AF8">
        <v>3</v>
      </c>
      <c r="AG8">
        <v>4</v>
      </c>
      <c r="AH8" s="1">
        <v>43497</v>
      </c>
      <c r="AI8">
        <v>0</v>
      </c>
      <c r="AJ8">
        <v>19</v>
      </c>
    </row>
    <row r="9" spans="1:36">
      <c r="A9" t="s">
        <v>615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15</v>
      </c>
      <c r="N9" t="s">
        <v>16</v>
      </c>
      <c r="O9">
        <v>2199</v>
      </c>
      <c r="P9" t="s">
        <v>65</v>
      </c>
      <c r="Q9" t="s">
        <v>17</v>
      </c>
      <c r="R9" t="s">
        <v>66</v>
      </c>
      <c r="S9" t="s">
        <v>19</v>
      </c>
      <c r="T9" t="s">
        <v>20</v>
      </c>
      <c r="U9" t="s">
        <v>21</v>
      </c>
      <c r="V9" t="s">
        <v>67</v>
      </c>
      <c r="X9" t="s">
        <v>22</v>
      </c>
      <c r="Y9" t="s">
        <v>23</v>
      </c>
      <c r="Z9" t="s">
        <v>24</v>
      </c>
      <c r="AA9" t="s">
        <v>68</v>
      </c>
      <c r="AB9">
        <v>19</v>
      </c>
      <c r="AC9" t="s">
        <v>69</v>
      </c>
      <c r="AD9" t="s">
        <v>39</v>
      </c>
      <c r="AE9" t="s">
        <v>57</v>
      </c>
      <c r="AF9">
        <v>4</v>
      </c>
      <c r="AG9">
        <v>0</v>
      </c>
      <c r="AH9" t="s">
        <v>70</v>
      </c>
      <c r="AI9">
        <v>0</v>
      </c>
      <c r="AJ9">
        <v>19</v>
      </c>
    </row>
    <row r="10" spans="1:36">
      <c r="A10" t="s">
        <v>616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15</v>
      </c>
      <c r="N10" t="s">
        <v>16</v>
      </c>
      <c r="O10">
        <v>1902</v>
      </c>
      <c r="P10" s="1">
        <v>25874</v>
      </c>
      <c r="Q10" t="s">
        <v>44</v>
      </c>
      <c r="R10" t="s">
        <v>18</v>
      </c>
      <c r="S10" t="s">
        <v>19</v>
      </c>
      <c r="T10" t="s">
        <v>20</v>
      </c>
      <c r="U10" t="s">
        <v>71</v>
      </c>
      <c r="V10" s="1">
        <v>39971</v>
      </c>
      <c r="X10" t="s">
        <v>22</v>
      </c>
      <c r="Y10" t="s">
        <v>23</v>
      </c>
      <c r="Z10" t="s">
        <v>24</v>
      </c>
      <c r="AA10" t="s">
        <v>72</v>
      </c>
      <c r="AB10">
        <v>12</v>
      </c>
      <c r="AC10" t="s">
        <v>73</v>
      </c>
      <c r="AD10" t="s">
        <v>39</v>
      </c>
      <c r="AE10" t="s">
        <v>74</v>
      </c>
      <c r="AF10">
        <v>3</v>
      </c>
      <c r="AG10">
        <v>0</v>
      </c>
      <c r="AH10" t="s">
        <v>75</v>
      </c>
      <c r="AI10">
        <v>0</v>
      </c>
      <c r="AJ10">
        <v>4</v>
      </c>
    </row>
    <row r="11" spans="1:36">
      <c r="A11" t="s">
        <v>617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76</v>
      </c>
      <c r="N11" t="s">
        <v>16</v>
      </c>
      <c r="O11">
        <v>1886</v>
      </c>
      <c r="P11" s="1">
        <v>32325</v>
      </c>
      <c r="Q11" t="s">
        <v>17</v>
      </c>
      <c r="R11" t="s">
        <v>53</v>
      </c>
      <c r="S11" t="s">
        <v>19</v>
      </c>
      <c r="T11" t="s">
        <v>20</v>
      </c>
      <c r="U11" t="s">
        <v>21</v>
      </c>
      <c r="V11" s="1">
        <v>42125</v>
      </c>
      <c r="X11" t="s">
        <v>22</v>
      </c>
      <c r="Y11" t="s">
        <v>23</v>
      </c>
      <c r="Z11" t="s">
        <v>36</v>
      </c>
      <c r="AA11" t="s">
        <v>77</v>
      </c>
      <c r="AB11">
        <v>7</v>
      </c>
      <c r="AC11" t="s">
        <v>38</v>
      </c>
      <c r="AD11" t="s">
        <v>39</v>
      </c>
      <c r="AE11" t="s">
        <v>57</v>
      </c>
      <c r="AF11">
        <v>5</v>
      </c>
      <c r="AG11">
        <v>6</v>
      </c>
      <c r="AH11" t="s">
        <v>78</v>
      </c>
      <c r="AI11">
        <v>0</v>
      </c>
      <c r="AJ11">
        <v>16</v>
      </c>
    </row>
    <row r="12" spans="1:36">
      <c r="A12" t="s">
        <v>618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15</v>
      </c>
      <c r="N12" t="s">
        <v>16</v>
      </c>
      <c r="O12">
        <v>1902</v>
      </c>
      <c r="P12" s="1">
        <v>27364</v>
      </c>
      <c r="Q12" t="s">
        <v>44</v>
      </c>
      <c r="R12" t="s">
        <v>31</v>
      </c>
      <c r="S12" t="s">
        <v>19</v>
      </c>
      <c r="T12" t="s">
        <v>79</v>
      </c>
      <c r="U12" t="s">
        <v>71</v>
      </c>
      <c r="V12" s="1">
        <v>40817</v>
      </c>
      <c r="W12" s="1">
        <v>43070</v>
      </c>
      <c r="X12" t="s">
        <v>80</v>
      </c>
      <c r="Y12" t="s">
        <v>35</v>
      </c>
      <c r="Z12" t="s">
        <v>24</v>
      </c>
      <c r="AA12" t="s">
        <v>81</v>
      </c>
      <c r="AB12">
        <v>14</v>
      </c>
      <c r="AC12" t="s">
        <v>73</v>
      </c>
      <c r="AD12" t="s">
        <v>39</v>
      </c>
      <c r="AE12" t="s">
        <v>82</v>
      </c>
      <c r="AF12">
        <v>4</v>
      </c>
      <c r="AG12">
        <v>0</v>
      </c>
      <c r="AH12" t="s">
        <v>83</v>
      </c>
      <c r="AI12">
        <v>0</v>
      </c>
      <c r="AJ12">
        <v>12</v>
      </c>
    </row>
    <row r="13" spans="1:36">
      <c r="A13" t="s">
        <v>619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15</v>
      </c>
      <c r="N13" t="s">
        <v>16</v>
      </c>
      <c r="O13">
        <v>2062</v>
      </c>
      <c r="P13" t="s">
        <v>84</v>
      </c>
      <c r="Q13" t="s">
        <v>17</v>
      </c>
      <c r="R13" t="s">
        <v>31</v>
      </c>
      <c r="S13" t="s">
        <v>19</v>
      </c>
      <c r="T13" t="s">
        <v>79</v>
      </c>
      <c r="U13" t="s">
        <v>71</v>
      </c>
      <c r="V13" s="1">
        <v>40943</v>
      </c>
      <c r="W13" t="s">
        <v>85</v>
      </c>
      <c r="X13" t="s">
        <v>86</v>
      </c>
      <c r="Y13" t="s">
        <v>35</v>
      </c>
      <c r="Z13" t="s">
        <v>24</v>
      </c>
      <c r="AA13" t="s">
        <v>47</v>
      </c>
      <c r="AB13">
        <v>20</v>
      </c>
      <c r="AC13" t="s">
        <v>73</v>
      </c>
      <c r="AD13" t="s">
        <v>39</v>
      </c>
      <c r="AE13" t="s">
        <v>82</v>
      </c>
      <c r="AF13">
        <v>3</v>
      </c>
      <c r="AG13">
        <v>0</v>
      </c>
      <c r="AH13" s="1">
        <v>42526</v>
      </c>
      <c r="AI13">
        <v>0</v>
      </c>
      <c r="AJ13">
        <v>15</v>
      </c>
    </row>
    <row r="14" spans="1:36">
      <c r="A14" t="s">
        <v>620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87</v>
      </c>
      <c r="N14" t="s">
        <v>88</v>
      </c>
      <c r="O14">
        <v>78230</v>
      </c>
      <c r="P14" s="1">
        <v>32240</v>
      </c>
      <c r="Q14" t="s">
        <v>17</v>
      </c>
      <c r="R14" t="s">
        <v>53</v>
      </c>
      <c r="S14" t="s">
        <v>19</v>
      </c>
      <c r="T14" t="s">
        <v>20</v>
      </c>
      <c r="U14" t="s">
        <v>71</v>
      </c>
      <c r="V14" s="1">
        <v>41923</v>
      </c>
      <c r="X14" t="s">
        <v>22</v>
      </c>
      <c r="Y14" t="s">
        <v>23</v>
      </c>
      <c r="Z14" t="s">
        <v>36</v>
      </c>
      <c r="AA14" t="s">
        <v>37</v>
      </c>
      <c r="AB14">
        <v>4</v>
      </c>
      <c r="AC14" t="s">
        <v>73</v>
      </c>
      <c r="AD14" t="s">
        <v>27</v>
      </c>
      <c r="AE14" t="s">
        <v>89</v>
      </c>
      <c r="AF14">
        <v>4</v>
      </c>
      <c r="AG14">
        <v>5</v>
      </c>
      <c r="AH14" t="s">
        <v>70</v>
      </c>
      <c r="AI14">
        <v>0</v>
      </c>
      <c r="AJ14">
        <v>9</v>
      </c>
    </row>
    <row r="15" spans="1:36">
      <c r="A15" t="s">
        <v>621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15</v>
      </c>
      <c r="N15" t="s">
        <v>16</v>
      </c>
      <c r="O15">
        <v>1810</v>
      </c>
      <c r="P15" t="s">
        <v>90</v>
      </c>
      <c r="Q15" t="s">
        <v>17</v>
      </c>
      <c r="R15" t="s">
        <v>18</v>
      </c>
      <c r="S15" t="s">
        <v>19</v>
      </c>
      <c r="T15" t="s">
        <v>20</v>
      </c>
      <c r="U15" t="s">
        <v>91</v>
      </c>
      <c r="V15" t="s">
        <v>92</v>
      </c>
      <c r="X15" t="s">
        <v>22</v>
      </c>
      <c r="Y15" t="s">
        <v>23</v>
      </c>
      <c r="Z15" t="s">
        <v>24</v>
      </c>
      <c r="AA15" t="s">
        <v>93</v>
      </c>
      <c r="AB15">
        <v>18</v>
      </c>
      <c r="AC15" t="s">
        <v>56</v>
      </c>
      <c r="AD15" t="s">
        <v>39</v>
      </c>
      <c r="AE15" t="s">
        <v>28</v>
      </c>
      <c r="AF15">
        <v>4</v>
      </c>
      <c r="AG15">
        <v>0</v>
      </c>
      <c r="AH15" t="s">
        <v>94</v>
      </c>
      <c r="AI15">
        <v>0</v>
      </c>
      <c r="AJ15">
        <v>7</v>
      </c>
    </row>
    <row r="16" spans="1:36">
      <c r="A16" t="s">
        <v>622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15</v>
      </c>
      <c r="N16" t="s">
        <v>16</v>
      </c>
      <c r="O16">
        <v>2747</v>
      </c>
      <c r="P16" t="s">
        <v>95</v>
      </c>
      <c r="Q16" t="s">
        <v>17</v>
      </c>
      <c r="R16" t="s">
        <v>53</v>
      </c>
      <c r="S16" t="s">
        <v>19</v>
      </c>
      <c r="T16" t="s">
        <v>20</v>
      </c>
      <c r="U16" t="s">
        <v>21</v>
      </c>
      <c r="V16" t="s">
        <v>45</v>
      </c>
      <c r="W16" s="1">
        <v>42890</v>
      </c>
      <c r="X16" t="s">
        <v>80</v>
      </c>
      <c r="Y16" t="s">
        <v>35</v>
      </c>
      <c r="Z16" t="s">
        <v>24</v>
      </c>
      <c r="AA16" t="s">
        <v>25</v>
      </c>
      <c r="AB16">
        <v>22</v>
      </c>
      <c r="AC16" t="s">
        <v>96</v>
      </c>
      <c r="AD16" t="s">
        <v>39</v>
      </c>
      <c r="AE16" t="s">
        <v>57</v>
      </c>
      <c r="AF16">
        <v>5</v>
      </c>
      <c r="AG16">
        <v>0</v>
      </c>
      <c r="AH16" s="1">
        <v>42769</v>
      </c>
      <c r="AI16">
        <v>0</v>
      </c>
      <c r="AJ16">
        <v>1</v>
      </c>
    </row>
    <row r="17" spans="1:36">
      <c r="A17" t="s">
        <v>623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15</v>
      </c>
      <c r="N17" t="s">
        <v>16</v>
      </c>
      <c r="O17">
        <v>2050</v>
      </c>
      <c r="P17" t="s">
        <v>97</v>
      </c>
      <c r="Q17" t="s">
        <v>17</v>
      </c>
      <c r="R17" t="s">
        <v>18</v>
      </c>
      <c r="S17" t="s">
        <v>19</v>
      </c>
      <c r="T17" t="s">
        <v>20</v>
      </c>
      <c r="U17" t="s">
        <v>21</v>
      </c>
      <c r="V17" t="s">
        <v>98</v>
      </c>
      <c r="W17" s="1">
        <v>42833</v>
      </c>
      <c r="X17" t="s">
        <v>99</v>
      </c>
      <c r="Y17" t="s">
        <v>100</v>
      </c>
      <c r="Z17" t="s">
        <v>24</v>
      </c>
      <c r="AA17" t="s">
        <v>93</v>
      </c>
      <c r="AB17">
        <v>18</v>
      </c>
      <c r="AC17" t="s">
        <v>56</v>
      </c>
      <c r="AD17" t="s">
        <v>39</v>
      </c>
      <c r="AE17" t="s">
        <v>57</v>
      </c>
      <c r="AF17">
        <v>4</v>
      </c>
      <c r="AG17">
        <v>0</v>
      </c>
      <c r="AH17" s="1">
        <v>42859</v>
      </c>
      <c r="AI17">
        <v>0</v>
      </c>
      <c r="AJ17">
        <v>20</v>
      </c>
    </row>
    <row r="18" spans="1:36">
      <c r="A18" t="s">
        <v>624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42</v>
      </c>
      <c r="N18" t="s">
        <v>16</v>
      </c>
      <c r="O18">
        <v>2145</v>
      </c>
      <c r="P18" t="s">
        <v>101</v>
      </c>
      <c r="Q18" t="s">
        <v>44</v>
      </c>
      <c r="R18" t="s">
        <v>31</v>
      </c>
      <c r="S18" t="s">
        <v>19</v>
      </c>
      <c r="T18" t="s">
        <v>20</v>
      </c>
      <c r="U18" t="s">
        <v>21</v>
      </c>
      <c r="V18" t="s">
        <v>102</v>
      </c>
      <c r="X18" t="s">
        <v>22</v>
      </c>
      <c r="Y18" t="s">
        <v>23</v>
      </c>
      <c r="Z18" t="s">
        <v>24</v>
      </c>
      <c r="AA18" t="s">
        <v>93</v>
      </c>
      <c r="AB18">
        <v>18</v>
      </c>
      <c r="AC18" t="s">
        <v>69</v>
      </c>
      <c r="AD18" t="s">
        <v>27</v>
      </c>
      <c r="AE18" t="s">
        <v>103</v>
      </c>
      <c r="AF18">
        <v>3</v>
      </c>
      <c r="AG18">
        <v>0</v>
      </c>
      <c r="AH18" t="s">
        <v>104</v>
      </c>
      <c r="AI18">
        <v>0</v>
      </c>
      <c r="AJ18">
        <v>16</v>
      </c>
    </row>
    <row r="19" spans="1:36">
      <c r="A19" t="s">
        <v>625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15</v>
      </c>
      <c r="N19" t="s">
        <v>16</v>
      </c>
      <c r="O19">
        <v>1915</v>
      </c>
      <c r="P19" t="s">
        <v>105</v>
      </c>
      <c r="Q19" t="s">
        <v>44</v>
      </c>
      <c r="R19" t="s">
        <v>18</v>
      </c>
      <c r="S19" t="s">
        <v>106</v>
      </c>
      <c r="T19" t="s">
        <v>20</v>
      </c>
      <c r="U19" t="s">
        <v>21</v>
      </c>
      <c r="V19" s="1">
        <v>40637</v>
      </c>
      <c r="X19" t="s">
        <v>22</v>
      </c>
      <c r="Y19" t="s">
        <v>23</v>
      </c>
      <c r="Z19" t="s">
        <v>24</v>
      </c>
      <c r="AA19" t="s">
        <v>51</v>
      </c>
      <c r="AB19">
        <v>16</v>
      </c>
      <c r="AC19" t="s">
        <v>56</v>
      </c>
      <c r="AD19" t="s">
        <v>39</v>
      </c>
      <c r="AE19" t="s">
        <v>57</v>
      </c>
      <c r="AF19">
        <v>5</v>
      </c>
      <c r="AG19">
        <v>0</v>
      </c>
      <c r="AH19" t="s">
        <v>104</v>
      </c>
      <c r="AI19">
        <v>0</v>
      </c>
      <c r="AJ19">
        <v>12</v>
      </c>
    </row>
    <row r="20" spans="1:36">
      <c r="A20" t="s">
        <v>626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107</v>
      </c>
      <c r="N20" t="s">
        <v>16</v>
      </c>
      <c r="O20">
        <v>2026</v>
      </c>
      <c r="P20" s="1">
        <v>31506</v>
      </c>
      <c r="Q20" t="s">
        <v>44</v>
      </c>
      <c r="R20" t="s">
        <v>18</v>
      </c>
      <c r="S20" t="s">
        <v>19</v>
      </c>
      <c r="T20" t="s">
        <v>79</v>
      </c>
      <c r="U20" t="s">
        <v>21</v>
      </c>
      <c r="V20" s="1">
        <v>41827</v>
      </c>
      <c r="W20" s="1">
        <v>42347</v>
      </c>
      <c r="X20" t="s">
        <v>108</v>
      </c>
      <c r="Y20" t="s">
        <v>100</v>
      </c>
      <c r="Z20" t="s">
        <v>36</v>
      </c>
      <c r="AA20" t="s">
        <v>37</v>
      </c>
      <c r="AB20">
        <v>4</v>
      </c>
      <c r="AC20" t="s">
        <v>56</v>
      </c>
      <c r="AD20" t="s">
        <v>39</v>
      </c>
      <c r="AE20" t="s">
        <v>109</v>
      </c>
      <c r="AF20">
        <v>4</v>
      </c>
      <c r="AG20">
        <v>5</v>
      </c>
      <c r="AH20" t="s">
        <v>110</v>
      </c>
      <c r="AI20">
        <v>0</v>
      </c>
      <c r="AJ20">
        <v>8</v>
      </c>
    </row>
    <row r="21" spans="1:36">
      <c r="A21" t="s">
        <v>627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15</v>
      </c>
      <c r="N21" t="s">
        <v>16</v>
      </c>
      <c r="O21">
        <v>2452</v>
      </c>
      <c r="P21" s="1">
        <v>29010</v>
      </c>
      <c r="Q21" t="s">
        <v>17</v>
      </c>
      <c r="R21" t="s">
        <v>18</v>
      </c>
      <c r="S21" t="s">
        <v>19</v>
      </c>
      <c r="T21" t="s">
        <v>20</v>
      </c>
      <c r="U21" t="s">
        <v>111</v>
      </c>
      <c r="V21" s="1">
        <v>41493</v>
      </c>
      <c r="X21" t="s">
        <v>22</v>
      </c>
      <c r="Y21" t="s">
        <v>23</v>
      </c>
      <c r="Z21" t="s">
        <v>24</v>
      </c>
      <c r="AA21" t="s">
        <v>55</v>
      </c>
      <c r="AC21" t="s">
        <v>26</v>
      </c>
      <c r="AD21" t="s">
        <v>39</v>
      </c>
      <c r="AE21" t="s">
        <v>82</v>
      </c>
      <c r="AF21">
        <v>4</v>
      </c>
      <c r="AG21">
        <v>0</v>
      </c>
      <c r="AH21" s="1">
        <v>43770</v>
      </c>
      <c r="AI21">
        <v>0</v>
      </c>
      <c r="AJ21">
        <v>13</v>
      </c>
    </row>
    <row r="22" spans="1:36">
      <c r="A22" t="s">
        <v>628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15</v>
      </c>
      <c r="N22" t="s">
        <v>16</v>
      </c>
      <c r="O22">
        <v>2072</v>
      </c>
      <c r="P22" t="s">
        <v>112</v>
      </c>
      <c r="Q22" t="s">
        <v>17</v>
      </c>
      <c r="R22" t="s">
        <v>18</v>
      </c>
      <c r="S22" t="s">
        <v>19</v>
      </c>
      <c r="T22" t="s">
        <v>79</v>
      </c>
      <c r="U22" t="s">
        <v>21</v>
      </c>
      <c r="V22" s="1">
        <v>40943</v>
      </c>
      <c r="X22" t="s">
        <v>22</v>
      </c>
      <c r="Y22" t="s">
        <v>23</v>
      </c>
      <c r="Z22" t="s">
        <v>24</v>
      </c>
      <c r="AA22" t="s">
        <v>59</v>
      </c>
      <c r="AB22">
        <v>11</v>
      </c>
      <c r="AC22" t="s">
        <v>56</v>
      </c>
      <c r="AD22" t="s">
        <v>39</v>
      </c>
      <c r="AE22" t="s">
        <v>57</v>
      </c>
      <c r="AF22">
        <v>3</v>
      </c>
      <c r="AG22">
        <v>0</v>
      </c>
      <c r="AH22" t="s">
        <v>104</v>
      </c>
      <c r="AI22">
        <v>0</v>
      </c>
      <c r="AJ22">
        <v>13</v>
      </c>
    </row>
    <row r="23" spans="1:36">
      <c r="A23" t="s">
        <v>629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15</v>
      </c>
      <c r="N23" t="s">
        <v>16</v>
      </c>
      <c r="O23">
        <v>2027</v>
      </c>
      <c r="P23" t="s">
        <v>113</v>
      </c>
      <c r="Q23" t="s">
        <v>44</v>
      </c>
      <c r="R23" t="s">
        <v>53</v>
      </c>
      <c r="S23" t="s">
        <v>19</v>
      </c>
      <c r="T23" t="s">
        <v>20</v>
      </c>
      <c r="U23" t="s">
        <v>111</v>
      </c>
      <c r="V23" t="s">
        <v>114</v>
      </c>
      <c r="X23" t="s">
        <v>22</v>
      </c>
      <c r="Y23" t="s">
        <v>23</v>
      </c>
      <c r="Z23" t="s">
        <v>24</v>
      </c>
      <c r="AA23" t="s">
        <v>68</v>
      </c>
      <c r="AB23">
        <v>19</v>
      </c>
      <c r="AC23" t="s">
        <v>38</v>
      </c>
      <c r="AD23" t="s">
        <v>39</v>
      </c>
      <c r="AE23" t="s">
        <v>82</v>
      </c>
      <c r="AF23">
        <v>3</v>
      </c>
      <c r="AG23">
        <v>0</v>
      </c>
      <c r="AH23" s="1">
        <v>43739</v>
      </c>
      <c r="AI23">
        <v>0</v>
      </c>
      <c r="AJ23">
        <v>2</v>
      </c>
    </row>
    <row r="24" spans="1:36">
      <c r="A24" t="s">
        <v>630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15</v>
      </c>
      <c r="N24" t="s">
        <v>16</v>
      </c>
      <c r="O24">
        <v>2031</v>
      </c>
      <c r="P24" s="1">
        <v>32517</v>
      </c>
      <c r="Q24" t="s">
        <v>44</v>
      </c>
      <c r="R24" t="s">
        <v>31</v>
      </c>
      <c r="S24" t="s">
        <v>19</v>
      </c>
      <c r="T24" t="s">
        <v>20</v>
      </c>
      <c r="U24" t="s">
        <v>21</v>
      </c>
      <c r="V24" s="1">
        <v>41827</v>
      </c>
      <c r="X24" t="s">
        <v>22</v>
      </c>
      <c r="Y24" t="s">
        <v>23</v>
      </c>
      <c r="Z24" t="s">
        <v>24</v>
      </c>
      <c r="AA24" t="s">
        <v>72</v>
      </c>
      <c r="AB24">
        <v>12</v>
      </c>
      <c r="AC24" t="s">
        <v>38</v>
      </c>
      <c r="AD24" t="s">
        <v>27</v>
      </c>
      <c r="AE24" t="s">
        <v>57</v>
      </c>
      <c r="AF24">
        <v>3</v>
      </c>
      <c r="AG24">
        <v>0</v>
      </c>
      <c r="AH24" t="s">
        <v>115</v>
      </c>
      <c r="AI24">
        <v>0</v>
      </c>
      <c r="AJ24">
        <v>19</v>
      </c>
    </row>
    <row r="25" spans="1:36">
      <c r="A25" t="s">
        <v>631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42</v>
      </c>
      <c r="N25" t="s">
        <v>16</v>
      </c>
      <c r="O25">
        <v>2171</v>
      </c>
      <c r="P25" t="s">
        <v>116</v>
      </c>
      <c r="Q25" t="s">
        <v>44</v>
      </c>
      <c r="R25" t="s">
        <v>18</v>
      </c>
      <c r="S25" t="s">
        <v>19</v>
      </c>
      <c r="T25" t="s">
        <v>20</v>
      </c>
      <c r="U25" t="s">
        <v>21</v>
      </c>
      <c r="V25" s="1">
        <v>40637</v>
      </c>
      <c r="X25" t="s">
        <v>22</v>
      </c>
      <c r="Y25" t="s">
        <v>23</v>
      </c>
      <c r="Z25" t="s">
        <v>24</v>
      </c>
      <c r="AA25" t="s">
        <v>25</v>
      </c>
      <c r="AB25">
        <v>22</v>
      </c>
      <c r="AC25" t="s">
        <v>117</v>
      </c>
      <c r="AD25" t="s">
        <v>118</v>
      </c>
      <c r="AE25" t="s">
        <v>119</v>
      </c>
      <c r="AF25">
        <v>3</v>
      </c>
      <c r="AG25">
        <v>0</v>
      </c>
      <c r="AH25" t="s">
        <v>115</v>
      </c>
      <c r="AI25">
        <v>2</v>
      </c>
      <c r="AJ25">
        <v>3</v>
      </c>
    </row>
    <row r="26" spans="1:36">
      <c r="A26" t="s">
        <v>632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42</v>
      </c>
      <c r="N26" t="s">
        <v>16</v>
      </c>
      <c r="O26">
        <v>2210</v>
      </c>
      <c r="P26" t="s">
        <v>120</v>
      </c>
      <c r="Q26" t="s">
        <v>44</v>
      </c>
      <c r="R26" t="s">
        <v>18</v>
      </c>
      <c r="S26" t="s">
        <v>19</v>
      </c>
      <c r="T26" t="s">
        <v>20</v>
      </c>
      <c r="U26" t="s">
        <v>21</v>
      </c>
      <c r="V26" s="1">
        <v>40817</v>
      </c>
      <c r="W26" s="1">
        <v>41733</v>
      </c>
      <c r="X26" t="s">
        <v>34</v>
      </c>
      <c r="Y26" t="s">
        <v>35</v>
      </c>
      <c r="Z26" t="s">
        <v>24</v>
      </c>
      <c r="AA26" t="s">
        <v>51</v>
      </c>
      <c r="AB26">
        <v>16</v>
      </c>
      <c r="AC26" t="s">
        <v>56</v>
      </c>
      <c r="AD26" t="s">
        <v>39</v>
      </c>
      <c r="AE26" t="s">
        <v>121</v>
      </c>
      <c r="AF26">
        <v>5</v>
      </c>
      <c r="AG26">
        <v>0</v>
      </c>
      <c r="AH26" s="1">
        <v>41732</v>
      </c>
      <c r="AI26">
        <v>0</v>
      </c>
      <c r="AJ26">
        <v>5</v>
      </c>
    </row>
    <row r="27" spans="1:36">
      <c r="A27" t="s">
        <v>633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122</v>
      </c>
      <c r="N27" t="s">
        <v>123</v>
      </c>
      <c r="O27">
        <v>6033</v>
      </c>
      <c r="P27" t="s">
        <v>124</v>
      </c>
      <c r="Q27" t="s">
        <v>17</v>
      </c>
      <c r="R27" t="s">
        <v>18</v>
      </c>
      <c r="S27" t="s">
        <v>19</v>
      </c>
      <c r="T27" t="s">
        <v>20</v>
      </c>
      <c r="U27" t="s">
        <v>71</v>
      </c>
      <c r="V27" t="s">
        <v>125</v>
      </c>
      <c r="W27" t="s">
        <v>126</v>
      </c>
      <c r="X27" t="s">
        <v>127</v>
      </c>
      <c r="Y27" t="s">
        <v>100</v>
      </c>
      <c r="Z27" t="s">
        <v>36</v>
      </c>
      <c r="AA27" t="s">
        <v>37</v>
      </c>
      <c r="AB27">
        <v>4</v>
      </c>
      <c r="AC27" t="s">
        <v>26</v>
      </c>
      <c r="AD27" t="s">
        <v>39</v>
      </c>
      <c r="AE27" t="s">
        <v>128</v>
      </c>
      <c r="AF27">
        <v>5</v>
      </c>
      <c r="AG27">
        <v>7</v>
      </c>
      <c r="AH27" s="1">
        <v>42644</v>
      </c>
      <c r="AI27">
        <v>0</v>
      </c>
      <c r="AJ27">
        <v>2</v>
      </c>
    </row>
    <row r="28" spans="1:36">
      <c r="A28" t="s">
        <v>634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129</v>
      </c>
      <c r="N28" t="s">
        <v>16</v>
      </c>
      <c r="O28">
        <v>2468</v>
      </c>
      <c r="P28" s="1">
        <v>31871</v>
      </c>
      <c r="Q28" t="s">
        <v>44</v>
      </c>
      <c r="R28" t="s">
        <v>31</v>
      </c>
      <c r="S28" t="s">
        <v>19</v>
      </c>
      <c r="T28" t="s">
        <v>20</v>
      </c>
      <c r="U28" t="s">
        <v>71</v>
      </c>
      <c r="V28" t="s">
        <v>130</v>
      </c>
      <c r="X28" t="s">
        <v>22</v>
      </c>
      <c r="Y28" t="s">
        <v>23</v>
      </c>
      <c r="Z28" t="s">
        <v>131</v>
      </c>
      <c r="AA28" t="s">
        <v>132</v>
      </c>
      <c r="AB28">
        <v>3</v>
      </c>
      <c r="AC28" t="s">
        <v>73</v>
      </c>
      <c r="AD28" t="s">
        <v>39</v>
      </c>
      <c r="AE28" t="s">
        <v>57</v>
      </c>
      <c r="AF28">
        <v>4</v>
      </c>
      <c r="AG28">
        <v>3</v>
      </c>
      <c r="AH28" t="s">
        <v>78</v>
      </c>
      <c r="AI28">
        <v>0</v>
      </c>
      <c r="AJ28">
        <v>4</v>
      </c>
    </row>
    <row r="29" spans="1:36">
      <c r="A29" t="s">
        <v>635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133</v>
      </c>
      <c r="N29" t="s">
        <v>16</v>
      </c>
      <c r="O29">
        <v>1901</v>
      </c>
      <c r="P29" s="1">
        <v>25844</v>
      </c>
      <c r="Q29" t="s">
        <v>17</v>
      </c>
      <c r="R29" t="s">
        <v>18</v>
      </c>
      <c r="S29" t="s">
        <v>19</v>
      </c>
      <c r="T29" t="s">
        <v>20</v>
      </c>
      <c r="U29" t="s">
        <v>111</v>
      </c>
      <c r="V29" t="s">
        <v>67</v>
      </c>
      <c r="W29" s="1">
        <v>41828</v>
      </c>
      <c r="X29" t="s">
        <v>134</v>
      </c>
      <c r="Y29" t="s">
        <v>35</v>
      </c>
      <c r="Z29" t="s">
        <v>24</v>
      </c>
      <c r="AA29" t="s">
        <v>135</v>
      </c>
      <c r="AB29">
        <v>2</v>
      </c>
      <c r="AC29" t="s">
        <v>38</v>
      </c>
      <c r="AD29" t="s">
        <v>39</v>
      </c>
      <c r="AE29" t="s">
        <v>136</v>
      </c>
      <c r="AF29">
        <v>3</v>
      </c>
      <c r="AG29">
        <v>0</v>
      </c>
      <c r="AH29" t="s">
        <v>137</v>
      </c>
      <c r="AI29">
        <v>0</v>
      </c>
      <c r="AJ29">
        <v>14</v>
      </c>
    </row>
    <row r="30" spans="1:36">
      <c r="A30" t="s">
        <v>636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15</v>
      </c>
      <c r="N30" t="s">
        <v>16</v>
      </c>
      <c r="O30">
        <v>1701</v>
      </c>
      <c r="P30" t="s">
        <v>138</v>
      </c>
      <c r="Q30" t="s">
        <v>44</v>
      </c>
      <c r="R30" t="s">
        <v>31</v>
      </c>
      <c r="S30" t="s">
        <v>19</v>
      </c>
      <c r="T30" t="s">
        <v>20</v>
      </c>
      <c r="U30" t="s">
        <v>21</v>
      </c>
      <c r="V30" s="1">
        <v>40943</v>
      </c>
      <c r="W30" t="s">
        <v>139</v>
      </c>
      <c r="X30" t="s">
        <v>80</v>
      </c>
      <c r="Y30" t="s">
        <v>35</v>
      </c>
      <c r="Z30" t="s">
        <v>24</v>
      </c>
      <c r="AA30" t="s">
        <v>81</v>
      </c>
      <c r="AB30">
        <v>14</v>
      </c>
      <c r="AC30" t="s">
        <v>56</v>
      </c>
      <c r="AD30" t="s">
        <v>39</v>
      </c>
      <c r="AE30" t="s">
        <v>140</v>
      </c>
      <c r="AF30">
        <v>4</v>
      </c>
      <c r="AG30">
        <v>0</v>
      </c>
      <c r="AH30" s="1">
        <v>41367</v>
      </c>
      <c r="AI30">
        <v>0</v>
      </c>
      <c r="AJ30">
        <v>6</v>
      </c>
    </row>
    <row r="31" spans="1:36">
      <c r="A31" t="s">
        <v>637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141</v>
      </c>
      <c r="N31" t="s">
        <v>16</v>
      </c>
      <c r="O31">
        <v>1450</v>
      </c>
      <c r="P31" t="s">
        <v>142</v>
      </c>
      <c r="Q31" t="s">
        <v>44</v>
      </c>
      <c r="R31" t="s">
        <v>31</v>
      </c>
      <c r="S31" t="s">
        <v>19</v>
      </c>
      <c r="T31" t="s">
        <v>20</v>
      </c>
      <c r="U31" t="s">
        <v>71</v>
      </c>
      <c r="V31" t="s">
        <v>143</v>
      </c>
      <c r="X31" t="s">
        <v>22</v>
      </c>
      <c r="Y31" t="s">
        <v>23</v>
      </c>
      <c r="Z31" t="s">
        <v>131</v>
      </c>
      <c r="AA31" t="s">
        <v>132</v>
      </c>
      <c r="AB31">
        <v>1</v>
      </c>
      <c r="AC31" t="s">
        <v>73</v>
      </c>
      <c r="AD31" t="s">
        <v>39</v>
      </c>
      <c r="AE31" t="s">
        <v>109</v>
      </c>
      <c r="AF31">
        <v>2</v>
      </c>
      <c r="AG31">
        <v>6</v>
      </c>
      <c r="AH31" t="s">
        <v>144</v>
      </c>
      <c r="AI31">
        <v>0</v>
      </c>
      <c r="AJ31">
        <v>14</v>
      </c>
    </row>
    <row r="32" spans="1:36">
      <c r="A32" t="s">
        <v>638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42</v>
      </c>
      <c r="N32" t="s">
        <v>16</v>
      </c>
      <c r="O32">
        <v>1013</v>
      </c>
      <c r="P32" t="s">
        <v>145</v>
      </c>
      <c r="Q32" t="s">
        <v>17</v>
      </c>
      <c r="R32" t="s">
        <v>18</v>
      </c>
      <c r="S32" t="s">
        <v>19</v>
      </c>
      <c r="T32" t="s">
        <v>20</v>
      </c>
      <c r="U32" t="s">
        <v>21</v>
      </c>
      <c r="V32" t="s">
        <v>146</v>
      </c>
      <c r="X32" t="s">
        <v>22</v>
      </c>
      <c r="Y32" t="s">
        <v>23</v>
      </c>
      <c r="Z32" t="s">
        <v>24</v>
      </c>
      <c r="AA32" t="s">
        <v>55</v>
      </c>
      <c r="AC32" t="s">
        <v>56</v>
      </c>
      <c r="AD32" t="s">
        <v>39</v>
      </c>
      <c r="AE32" t="s">
        <v>147</v>
      </c>
      <c r="AF32">
        <v>3</v>
      </c>
      <c r="AG32">
        <v>0</v>
      </c>
      <c r="AH32" s="1">
        <v>43467</v>
      </c>
      <c r="AI32">
        <v>0</v>
      </c>
      <c r="AJ32">
        <v>9</v>
      </c>
    </row>
    <row r="33" spans="1:36">
      <c r="A33" t="s">
        <v>639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15</v>
      </c>
      <c r="N33" t="s">
        <v>16</v>
      </c>
      <c r="O33">
        <v>2043</v>
      </c>
      <c r="P33" t="s">
        <v>148</v>
      </c>
      <c r="Q33" t="s">
        <v>44</v>
      </c>
      <c r="R33" t="s">
        <v>149</v>
      </c>
      <c r="S33" t="s">
        <v>19</v>
      </c>
      <c r="T33" t="s">
        <v>20</v>
      </c>
      <c r="U33" t="s">
        <v>71</v>
      </c>
      <c r="V33" s="1">
        <v>41589</v>
      </c>
      <c r="X33" t="s">
        <v>22</v>
      </c>
      <c r="Y33" t="s">
        <v>23</v>
      </c>
      <c r="Z33" t="s">
        <v>24</v>
      </c>
      <c r="AA33" t="s">
        <v>47</v>
      </c>
      <c r="AB33">
        <v>20</v>
      </c>
      <c r="AC33" t="s">
        <v>73</v>
      </c>
      <c r="AD33" t="s">
        <v>39</v>
      </c>
      <c r="AE33" t="s">
        <v>128</v>
      </c>
      <c r="AF33">
        <v>5</v>
      </c>
      <c r="AG33">
        <v>0</v>
      </c>
      <c r="AH33" t="s">
        <v>150</v>
      </c>
      <c r="AI33">
        <v>0</v>
      </c>
      <c r="AJ33">
        <v>17</v>
      </c>
    </row>
    <row r="34" spans="1:36">
      <c r="A34" t="s">
        <v>640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151</v>
      </c>
      <c r="N34" t="s">
        <v>152</v>
      </c>
      <c r="O34">
        <v>21851</v>
      </c>
      <c r="P34" s="1">
        <v>23382</v>
      </c>
      <c r="Q34" t="s">
        <v>44</v>
      </c>
      <c r="R34" t="s">
        <v>31</v>
      </c>
      <c r="S34" t="s">
        <v>106</v>
      </c>
      <c r="T34" t="s">
        <v>20</v>
      </c>
      <c r="U34" t="s">
        <v>71</v>
      </c>
      <c r="V34" t="s">
        <v>153</v>
      </c>
      <c r="W34" s="1">
        <v>41678</v>
      </c>
      <c r="X34" t="s">
        <v>80</v>
      </c>
      <c r="Y34" t="s">
        <v>35</v>
      </c>
      <c r="Z34" t="s">
        <v>154</v>
      </c>
      <c r="AA34" t="s">
        <v>155</v>
      </c>
      <c r="AB34">
        <v>17</v>
      </c>
      <c r="AC34" t="s">
        <v>56</v>
      </c>
      <c r="AD34" t="s">
        <v>39</v>
      </c>
      <c r="AE34" t="s">
        <v>156</v>
      </c>
      <c r="AF34">
        <v>5</v>
      </c>
      <c r="AG34">
        <v>0</v>
      </c>
      <c r="AH34" s="1">
        <v>41549</v>
      </c>
      <c r="AI34">
        <v>1</v>
      </c>
      <c r="AJ34">
        <v>19</v>
      </c>
    </row>
    <row r="35" spans="1:36">
      <c r="A35" t="s">
        <v>641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42</v>
      </c>
      <c r="N35" t="s">
        <v>16</v>
      </c>
      <c r="O35">
        <v>2148</v>
      </c>
      <c r="P35" s="1">
        <v>29254</v>
      </c>
      <c r="Q35" t="s">
        <v>44</v>
      </c>
      <c r="R35" t="s">
        <v>18</v>
      </c>
      <c r="S35" t="s">
        <v>19</v>
      </c>
      <c r="T35" t="s">
        <v>20</v>
      </c>
      <c r="U35" t="s">
        <v>71</v>
      </c>
      <c r="V35" s="1">
        <v>41032</v>
      </c>
      <c r="X35" t="s">
        <v>22</v>
      </c>
      <c r="Y35" t="s">
        <v>23</v>
      </c>
      <c r="Z35" t="s">
        <v>24</v>
      </c>
      <c r="AA35" t="s">
        <v>59</v>
      </c>
      <c r="AB35">
        <v>11</v>
      </c>
      <c r="AC35" t="s">
        <v>69</v>
      </c>
      <c r="AD35" t="s">
        <v>39</v>
      </c>
      <c r="AE35" t="s">
        <v>157</v>
      </c>
      <c r="AF35">
        <v>4</v>
      </c>
      <c r="AG35">
        <v>0</v>
      </c>
      <c r="AH35" t="s">
        <v>158</v>
      </c>
      <c r="AI35">
        <v>0</v>
      </c>
      <c r="AJ35">
        <v>3</v>
      </c>
    </row>
    <row r="36" spans="1:36">
      <c r="A36" t="s">
        <v>642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42</v>
      </c>
      <c r="N36" t="s">
        <v>16</v>
      </c>
      <c r="O36">
        <v>1890</v>
      </c>
      <c r="P36" t="s">
        <v>159</v>
      </c>
      <c r="Q36" t="s">
        <v>17</v>
      </c>
      <c r="R36" t="s">
        <v>31</v>
      </c>
      <c r="S36" t="s">
        <v>19</v>
      </c>
      <c r="T36" t="s">
        <v>20</v>
      </c>
      <c r="U36" t="s">
        <v>21</v>
      </c>
      <c r="V36" s="1">
        <v>40637</v>
      </c>
      <c r="X36" t="s">
        <v>22</v>
      </c>
      <c r="Y36" t="s">
        <v>23</v>
      </c>
      <c r="Z36" t="s">
        <v>24</v>
      </c>
      <c r="AA36" t="s">
        <v>68</v>
      </c>
      <c r="AB36">
        <v>19</v>
      </c>
      <c r="AC36" t="s">
        <v>38</v>
      </c>
      <c r="AD36" t="s">
        <v>39</v>
      </c>
      <c r="AE36" t="s">
        <v>160</v>
      </c>
      <c r="AF36">
        <v>5</v>
      </c>
      <c r="AG36">
        <v>0</v>
      </c>
      <c r="AH36" t="s">
        <v>104</v>
      </c>
      <c r="AI36">
        <v>0</v>
      </c>
      <c r="AJ36">
        <v>15</v>
      </c>
    </row>
    <row r="37" spans="1:36">
      <c r="A37" t="s">
        <v>643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161</v>
      </c>
      <c r="N37" t="s">
        <v>16</v>
      </c>
      <c r="O37">
        <v>2184</v>
      </c>
      <c r="P37" t="s">
        <v>162</v>
      </c>
      <c r="Q37" t="s">
        <v>17</v>
      </c>
      <c r="R37" t="s">
        <v>18</v>
      </c>
      <c r="S37" t="s">
        <v>19</v>
      </c>
      <c r="T37" t="s">
        <v>20</v>
      </c>
      <c r="U37" t="s">
        <v>21</v>
      </c>
      <c r="V37" t="s">
        <v>153</v>
      </c>
      <c r="X37" t="s">
        <v>22</v>
      </c>
      <c r="Y37" t="s">
        <v>23</v>
      </c>
      <c r="Z37" t="s">
        <v>62</v>
      </c>
      <c r="AA37" t="s">
        <v>163</v>
      </c>
      <c r="AB37">
        <v>5</v>
      </c>
      <c r="AC37" t="s">
        <v>56</v>
      </c>
      <c r="AD37" t="s">
        <v>39</v>
      </c>
      <c r="AE37" t="s">
        <v>164</v>
      </c>
      <c r="AF37">
        <v>3</v>
      </c>
      <c r="AG37">
        <v>5</v>
      </c>
      <c r="AH37" t="s">
        <v>150</v>
      </c>
      <c r="AI37">
        <v>0</v>
      </c>
      <c r="AJ37">
        <v>4</v>
      </c>
    </row>
    <row r="38" spans="1:36">
      <c r="A38" t="s">
        <v>644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133</v>
      </c>
      <c r="N38" t="s">
        <v>16</v>
      </c>
      <c r="O38">
        <v>2169</v>
      </c>
      <c r="P38" s="1">
        <v>30567</v>
      </c>
      <c r="Q38" t="s">
        <v>17</v>
      </c>
      <c r="R38" t="s">
        <v>18</v>
      </c>
      <c r="S38" t="s">
        <v>19</v>
      </c>
      <c r="T38" t="s">
        <v>20</v>
      </c>
      <c r="U38" t="s">
        <v>21</v>
      </c>
      <c r="V38" t="s">
        <v>165</v>
      </c>
      <c r="X38" t="s">
        <v>22</v>
      </c>
      <c r="Y38" t="s">
        <v>23</v>
      </c>
      <c r="Z38" t="s">
        <v>24</v>
      </c>
      <c r="AA38" t="s">
        <v>135</v>
      </c>
      <c r="AB38">
        <v>2</v>
      </c>
      <c r="AC38" t="s">
        <v>38</v>
      </c>
      <c r="AD38" t="s">
        <v>27</v>
      </c>
      <c r="AE38" t="s">
        <v>57</v>
      </c>
      <c r="AF38">
        <v>3</v>
      </c>
      <c r="AG38">
        <v>0</v>
      </c>
      <c r="AH38" t="s">
        <v>166</v>
      </c>
      <c r="AI38">
        <v>0</v>
      </c>
      <c r="AJ38">
        <v>14</v>
      </c>
    </row>
    <row r="39" spans="1:36">
      <c r="A39" t="s">
        <v>645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60</v>
      </c>
      <c r="N39" t="s">
        <v>16</v>
      </c>
      <c r="O39">
        <v>2132</v>
      </c>
      <c r="P39" s="1">
        <v>31901</v>
      </c>
      <c r="Q39" t="s">
        <v>44</v>
      </c>
      <c r="R39" t="s">
        <v>18</v>
      </c>
      <c r="S39" t="s">
        <v>19</v>
      </c>
      <c r="T39" t="s">
        <v>20</v>
      </c>
      <c r="U39" t="s">
        <v>21</v>
      </c>
      <c r="V39" s="1">
        <v>41589</v>
      </c>
      <c r="X39" t="s">
        <v>22</v>
      </c>
      <c r="Y39" t="s">
        <v>23</v>
      </c>
      <c r="Z39" t="s">
        <v>62</v>
      </c>
      <c r="AA39" t="s">
        <v>63</v>
      </c>
      <c r="AB39">
        <v>10</v>
      </c>
      <c r="AC39" t="s">
        <v>38</v>
      </c>
      <c r="AD39" t="s">
        <v>39</v>
      </c>
      <c r="AE39" t="s">
        <v>40</v>
      </c>
      <c r="AF39">
        <v>4</v>
      </c>
      <c r="AG39">
        <v>6</v>
      </c>
      <c r="AH39" t="s">
        <v>167</v>
      </c>
      <c r="AI39">
        <v>0</v>
      </c>
      <c r="AJ39">
        <v>3</v>
      </c>
    </row>
    <row r="40" spans="1:36">
      <c r="A40" t="s">
        <v>646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15</v>
      </c>
      <c r="N40" t="s">
        <v>16</v>
      </c>
      <c r="O40">
        <v>1701</v>
      </c>
      <c r="P40" s="1">
        <v>30349</v>
      </c>
      <c r="Q40" t="s">
        <v>17</v>
      </c>
      <c r="R40" t="s">
        <v>18</v>
      </c>
      <c r="S40" t="s">
        <v>19</v>
      </c>
      <c r="T40" t="s">
        <v>20</v>
      </c>
      <c r="U40" t="s">
        <v>71</v>
      </c>
      <c r="V40" t="s">
        <v>168</v>
      </c>
      <c r="X40" t="s">
        <v>22</v>
      </c>
      <c r="Y40" t="s">
        <v>23</v>
      </c>
      <c r="Z40" t="s">
        <v>24</v>
      </c>
      <c r="AA40" t="s">
        <v>93</v>
      </c>
      <c r="AB40">
        <v>18</v>
      </c>
      <c r="AC40" t="s">
        <v>26</v>
      </c>
      <c r="AD40" t="s">
        <v>39</v>
      </c>
      <c r="AE40" t="s">
        <v>169</v>
      </c>
      <c r="AF40">
        <v>3</v>
      </c>
      <c r="AG40">
        <v>0</v>
      </c>
      <c r="AH40" s="1">
        <v>43467</v>
      </c>
      <c r="AI40">
        <v>0</v>
      </c>
      <c r="AJ40">
        <v>14</v>
      </c>
    </row>
    <row r="41" spans="1:36">
      <c r="A41" t="s">
        <v>647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30</v>
      </c>
      <c r="N41" t="s">
        <v>16</v>
      </c>
      <c r="O41">
        <v>1886</v>
      </c>
      <c r="P41" s="1">
        <v>31569</v>
      </c>
      <c r="Q41" t="s">
        <v>44</v>
      </c>
      <c r="R41" t="s">
        <v>18</v>
      </c>
      <c r="S41" t="s">
        <v>19</v>
      </c>
      <c r="T41" t="s">
        <v>20</v>
      </c>
      <c r="U41" t="s">
        <v>71</v>
      </c>
      <c r="V41" t="s">
        <v>170</v>
      </c>
      <c r="X41" t="s">
        <v>22</v>
      </c>
      <c r="Y41" t="s">
        <v>23</v>
      </c>
      <c r="Z41" t="s">
        <v>36</v>
      </c>
      <c r="AA41" t="s">
        <v>37</v>
      </c>
      <c r="AB41">
        <v>4</v>
      </c>
      <c r="AC41" t="s">
        <v>26</v>
      </c>
      <c r="AD41" t="s">
        <v>39</v>
      </c>
      <c r="AE41" t="s">
        <v>57</v>
      </c>
      <c r="AF41">
        <v>5</v>
      </c>
      <c r="AG41">
        <v>6</v>
      </c>
      <c r="AH41" t="s">
        <v>78</v>
      </c>
      <c r="AI41">
        <v>0</v>
      </c>
      <c r="AJ41">
        <v>7</v>
      </c>
    </row>
    <row r="42" spans="1:36">
      <c r="A42" t="s">
        <v>648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151</v>
      </c>
      <c r="N42" t="s">
        <v>171</v>
      </c>
      <c r="O42">
        <v>5664</v>
      </c>
      <c r="P42" t="s">
        <v>172</v>
      </c>
      <c r="Q42" t="s">
        <v>44</v>
      </c>
      <c r="R42" t="s">
        <v>18</v>
      </c>
      <c r="S42" t="s">
        <v>19</v>
      </c>
      <c r="T42" t="s">
        <v>20</v>
      </c>
      <c r="U42" t="s">
        <v>21</v>
      </c>
      <c r="V42" t="s">
        <v>173</v>
      </c>
      <c r="X42" t="s">
        <v>22</v>
      </c>
      <c r="Y42" t="s">
        <v>23</v>
      </c>
      <c r="Z42" t="s">
        <v>154</v>
      </c>
      <c r="AA42" t="s">
        <v>155</v>
      </c>
      <c r="AB42">
        <v>17</v>
      </c>
      <c r="AC42" t="s">
        <v>38</v>
      </c>
      <c r="AD42" t="s">
        <v>39</v>
      </c>
      <c r="AE42" t="s">
        <v>57</v>
      </c>
      <c r="AF42">
        <v>5</v>
      </c>
      <c r="AG42">
        <v>0</v>
      </c>
      <c r="AH42" t="s">
        <v>150</v>
      </c>
      <c r="AI42">
        <v>0</v>
      </c>
      <c r="AJ42">
        <v>7</v>
      </c>
    </row>
    <row r="43" spans="1:36">
      <c r="A43" t="s">
        <v>649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15</v>
      </c>
      <c r="N43" t="s">
        <v>16</v>
      </c>
      <c r="O43">
        <v>2763</v>
      </c>
      <c r="P43" s="1">
        <v>18660</v>
      </c>
      <c r="Q43" t="s">
        <v>44</v>
      </c>
      <c r="R43" t="s">
        <v>18</v>
      </c>
      <c r="S43" t="s">
        <v>19</v>
      </c>
      <c r="T43" t="s">
        <v>20</v>
      </c>
      <c r="U43" t="s">
        <v>21</v>
      </c>
      <c r="V43" t="s">
        <v>146</v>
      </c>
      <c r="X43" t="s">
        <v>22</v>
      </c>
      <c r="Y43" t="s">
        <v>23</v>
      </c>
      <c r="Z43" t="s">
        <v>24</v>
      </c>
      <c r="AA43" t="s">
        <v>25</v>
      </c>
      <c r="AB43">
        <v>22</v>
      </c>
      <c r="AC43" t="s">
        <v>56</v>
      </c>
      <c r="AD43" t="s">
        <v>39</v>
      </c>
      <c r="AE43" t="s">
        <v>57</v>
      </c>
      <c r="AF43">
        <v>4</v>
      </c>
      <c r="AG43">
        <v>0</v>
      </c>
      <c r="AH43" s="1">
        <v>43801</v>
      </c>
      <c r="AI43">
        <v>0</v>
      </c>
      <c r="AJ43">
        <v>11</v>
      </c>
    </row>
    <row r="44" spans="1:36">
      <c r="A44" t="s">
        <v>650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174</v>
      </c>
      <c r="N44" t="s">
        <v>16</v>
      </c>
      <c r="O44">
        <v>2045</v>
      </c>
      <c r="P44" s="1">
        <v>26544</v>
      </c>
      <c r="Q44" t="s">
        <v>17</v>
      </c>
      <c r="R44" t="s">
        <v>31</v>
      </c>
      <c r="S44" t="s">
        <v>19</v>
      </c>
      <c r="T44" t="s">
        <v>20</v>
      </c>
      <c r="U44" t="s">
        <v>21</v>
      </c>
      <c r="V44" s="1">
        <v>42530</v>
      </c>
      <c r="X44" t="s">
        <v>22</v>
      </c>
      <c r="Y44" t="s">
        <v>23</v>
      </c>
      <c r="Z44" t="s">
        <v>36</v>
      </c>
      <c r="AA44" t="s">
        <v>163</v>
      </c>
      <c r="AB44">
        <v>5</v>
      </c>
      <c r="AC44" t="s">
        <v>38</v>
      </c>
      <c r="AD44" t="s">
        <v>39</v>
      </c>
      <c r="AE44" t="s">
        <v>109</v>
      </c>
      <c r="AF44">
        <v>5</v>
      </c>
      <c r="AG44">
        <v>7</v>
      </c>
      <c r="AH44" t="s">
        <v>144</v>
      </c>
      <c r="AI44">
        <v>0</v>
      </c>
      <c r="AJ44">
        <v>8</v>
      </c>
    </row>
    <row r="45" spans="1:36">
      <c r="A45" t="s">
        <v>651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15</v>
      </c>
      <c r="N45" t="s">
        <v>16</v>
      </c>
      <c r="O45">
        <v>2170</v>
      </c>
      <c r="P45" s="1">
        <v>29191</v>
      </c>
      <c r="Q45" t="s">
        <v>44</v>
      </c>
      <c r="R45" t="s">
        <v>18</v>
      </c>
      <c r="S45" t="s">
        <v>19</v>
      </c>
      <c r="T45" t="s">
        <v>20</v>
      </c>
      <c r="U45" t="s">
        <v>21</v>
      </c>
      <c r="V45" s="1">
        <v>41978</v>
      </c>
      <c r="X45" t="s">
        <v>22</v>
      </c>
      <c r="Y45" t="s">
        <v>23</v>
      </c>
      <c r="Z45" t="s">
        <v>24</v>
      </c>
      <c r="AA45" t="s">
        <v>51</v>
      </c>
      <c r="AB45">
        <v>16</v>
      </c>
      <c r="AC45" t="s">
        <v>38</v>
      </c>
      <c r="AD45" t="s">
        <v>39</v>
      </c>
      <c r="AE45" t="s">
        <v>175</v>
      </c>
      <c r="AF45">
        <v>4</v>
      </c>
      <c r="AG45">
        <v>0</v>
      </c>
      <c r="AH45" t="s">
        <v>176</v>
      </c>
      <c r="AI45">
        <v>0</v>
      </c>
      <c r="AJ45">
        <v>11</v>
      </c>
    </row>
    <row r="46" spans="1:36">
      <c r="A46" t="s">
        <v>652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15</v>
      </c>
      <c r="N46" t="s">
        <v>16</v>
      </c>
      <c r="O46">
        <v>1845</v>
      </c>
      <c r="P46" t="s">
        <v>177</v>
      </c>
      <c r="Q46" t="s">
        <v>17</v>
      </c>
      <c r="R46" t="s">
        <v>18</v>
      </c>
      <c r="S46" t="s">
        <v>19</v>
      </c>
      <c r="T46" t="s">
        <v>20</v>
      </c>
      <c r="U46" t="s">
        <v>21</v>
      </c>
      <c r="V46" s="1">
        <v>41493</v>
      </c>
      <c r="X46" t="s">
        <v>22</v>
      </c>
      <c r="Y46" t="s">
        <v>23</v>
      </c>
      <c r="Z46" t="s">
        <v>24</v>
      </c>
      <c r="AA46" t="s">
        <v>55</v>
      </c>
      <c r="AC46" t="s">
        <v>26</v>
      </c>
      <c r="AD46" t="s">
        <v>39</v>
      </c>
      <c r="AE46" t="s">
        <v>178</v>
      </c>
      <c r="AF46">
        <v>5</v>
      </c>
      <c r="AG46">
        <v>0</v>
      </c>
      <c r="AH46" t="s">
        <v>104</v>
      </c>
      <c r="AI46">
        <v>0</v>
      </c>
      <c r="AJ46">
        <v>4</v>
      </c>
    </row>
    <row r="47" spans="1:36">
      <c r="A47" t="s">
        <v>653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151</v>
      </c>
      <c r="N47" t="s">
        <v>88</v>
      </c>
      <c r="O47">
        <v>78207</v>
      </c>
      <c r="P47" s="1">
        <v>25878</v>
      </c>
      <c r="Q47" t="s">
        <v>17</v>
      </c>
      <c r="R47" t="s">
        <v>18</v>
      </c>
      <c r="S47" t="s">
        <v>106</v>
      </c>
      <c r="T47" t="s">
        <v>20</v>
      </c>
      <c r="U47" t="s">
        <v>71</v>
      </c>
      <c r="V47" t="s">
        <v>179</v>
      </c>
      <c r="X47" t="s">
        <v>22</v>
      </c>
      <c r="Y47" t="s">
        <v>23</v>
      </c>
      <c r="Z47" t="s">
        <v>154</v>
      </c>
      <c r="AA47" t="s">
        <v>180</v>
      </c>
      <c r="AB47">
        <v>21</v>
      </c>
      <c r="AC47" t="s">
        <v>69</v>
      </c>
      <c r="AD47" t="s">
        <v>39</v>
      </c>
      <c r="AE47" t="s">
        <v>181</v>
      </c>
      <c r="AF47">
        <v>5</v>
      </c>
      <c r="AG47">
        <v>0</v>
      </c>
      <c r="AH47" t="s">
        <v>182</v>
      </c>
      <c r="AI47">
        <v>0</v>
      </c>
      <c r="AJ47">
        <v>17</v>
      </c>
    </row>
    <row r="48" spans="1:36">
      <c r="A48" t="s">
        <v>654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15</v>
      </c>
      <c r="N48" t="s">
        <v>16</v>
      </c>
      <c r="O48">
        <v>1775</v>
      </c>
      <c r="P48" t="s">
        <v>183</v>
      </c>
      <c r="Q48" t="s">
        <v>44</v>
      </c>
      <c r="R48" t="s">
        <v>18</v>
      </c>
      <c r="S48" t="s">
        <v>19</v>
      </c>
      <c r="T48" t="s">
        <v>20</v>
      </c>
      <c r="U48" t="s">
        <v>21</v>
      </c>
      <c r="V48" t="s">
        <v>184</v>
      </c>
      <c r="W48" t="s">
        <v>185</v>
      </c>
      <c r="X48" t="s">
        <v>186</v>
      </c>
      <c r="Y48" t="s">
        <v>35</v>
      </c>
      <c r="Z48" t="s">
        <v>24</v>
      </c>
      <c r="AA48" t="s">
        <v>59</v>
      </c>
      <c r="AB48">
        <v>11</v>
      </c>
      <c r="AC48" t="s">
        <v>38</v>
      </c>
      <c r="AD48" t="s">
        <v>39</v>
      </c>
      <c r="AE48" t="s">
        <v>187</v>
      </c>
      <c r="AF48">
        <v>4</v>
      </c>
      <c r="AG48">
        <v>0</v>
      </c>
      <c r="AH48" s="1">
        <v>42280</v>
      </c>
      <c r="AI48">
        <v>0</v>
      </c>
      <c r="AJ48">
        <v>3</v>
      </c>
    </row>
    <row r="49" spans="1:36">
      <c r="A49" t="s">
        <v>655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15</v>
      </c>
      <c r="N49" t="s">
        <v>16</v>
      </c>
      <c r="O49">
        <v>2044</v>
      </c>
      <c r="P49" t="s">
        <v>188</v>
      </c>
      <c r="Q49" t="s">
        <v>44</v>
      </c>
      <c r="R49" t="s">
        <v>18</v>
      </c>
      <c r="S49" t="s">
        <v>189</v>
      </c>
      <c r="T49" t="s">
        <v>20</v>
      </c>
      <c r="U49" t="s">
        <v>71</v>
      </c>
      <c r="V49" s="1">
        <v>40612</v>
      </c>
      <c r="X49" t="s">
        <v>22</v>
      </c>
      <c r="Y49" t="s">
        <v>23</v>
      </c>
      <c r="Z49" t="s">
        <v>24</v>
      </c>
      <c r="AA49" t="s">
        <v>68</v>
      </c>
      <c r="AB49">
        <v>19</v>
      </c>
      <c r="AC49" t="s">
        <v>38</v>
      </c>
      <c r="AD49" t="s">
        <v>39</v>
      </c>
      <c r="AE49" t="s">
        <v>190</v>
      </c>
      <c r="AF49">
        <v>5</v>
      </c>
      <c r="AG49">
        <v>0</v>
      </c>
      <c r="AH49" t="s">
        <v>167</v>
      </c>
      <c r="AI49">
        <v>0</v>
      </c>
      <c r="AJ49">
        <v>3</v>
      </c>
    </row>
    <row r="50" spans="1:36">
      <c r="A50" t="s">
        <v>656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76</v>
      </c>
      <c r="N50" t="s">
        <v>16</v>
      </c>
      <c r="O50">
        <v>2170</v>
      </c>
      <c r="P50" s="1">
        <v>31176</v>
      </c>
      <c r="Q50" t="s">
        <v>17</v>
      </c>
      <c r="R50" t="s">
        <v>18</v>
      </c>
      <c r="S50" t="s">
        <v>19</v>
      </c>
      <c r="T50" t="s">
        <v>20</v>
      </c>
      <c r="U50" t="s">
        <v>21</v>
      </c>
      <c r="V50" s="1">
        <v>41038</v>
      </c>
      <c r="X50" t="s">
        <v>22</v>
      </c>
      <c r="Y50" t="s">
        <v>23</v>
      </c>
      <c r="Z50" t="s">
        <v>36</v>
      </c>
      <c r="AA50" t="s">
        <v>191</v>
      </c>
      <c r="AB50">
        <v>6</v>
      </c>
      <c r="AC50" t="s">
        <v>38</v>
      </c>
      <c r="AD50" t="s">
        <v>39</v>
      </c>
      <c r="AE50" t="s">
        <v>192</v>
      </c>
      <c r="AF50">
        <v>3</v>
      </c>
      <c r="AG50">
        <v>6</v>
      </c>
      <c r="AH50" t="s">
        <v>115</v>
      </c>
      <c r="AI50">
        <v>0</v>
      </c>
      <c r="AJ50">
        <v>2</v>
      </c>
    </row>
    <row r="51" spans="1:36">
      <c r="A51" t="s">
        <v>657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42</v>
      </c>
      <c r="N51" t="s">
        <v>16</v>
      </c>
      <c r="O51">
        <v>1752</v>
      </c>
      <c r="P51" t="s">
        <v>193</v>
      </c>
      <c r="Q51" t="s">
        <v>44</v>
      </c>
      <c r="R51" t="s">
        <v>31</v>
      </c>
      <c r="S51" t="s">
        <v>19</v>
      </c>
      <c r="T51" t="s">
        <v>20</v>
      </c>
      <c r="U51" t="s">
        <v>21</v>
      </c>
      <c r="V51" t="s">
        <v>194</v>
      </c>
      <c r="W51" s="1">
        <v>41456</v>
      </c>
      <c r="X51" t="s">
        <v>86</v>
      </c>
      <c r="Y51" t="s">
        <v>35</v>
      </c>
      <c r="Z51" t="s">
        <v>24</v>
      </c>
      <c r="AA51" t="s">
        <v>72</v>
      </c>
      <c r="AB51">
        <v>12</v>
      </c>
      <c r="AC51" t="s">
        <v>56</v>
      </c>
      <c r="AD51" t="s">
        <v>39</v>
      </c>
      <c r="AE51" t="s">
        <v>82</v>
      </c>
      <c r="AF51">
        <v>5</v>
      </c>
      <c r="AG51">
        <v>0</v>
      </c>
      <c r="AH51" s="1">
        <v>40973</v>
      </c>
      <c r="AI51">
        <v>0</v>
      </c>
      <c r="AJ51">
        <v>9</v>
      </c>
    </row>
    <row r="52" spans="1:36">
      <c r="A52" t="s">
        <v>658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42</v>
      </c>
      <c r="N52" t="s">
        <v>16</v>
      </c>
      <c r="O52">
        <v>2169</v>
      </c>
      <c r="P52" t="s">
        <v>195</v>
      </c>
      <c r="Q52" t="s">
        <v>17</v>
      </c>
      <c r="R52" t="s">
        <v>31</v>
      </c>
      <c r="S52" t="s">
        <v>19</v>
      </c>
      <c r="T52" t="s">
        <v>20</v>
      </c>
      <c r="U52" t="s">
        <v>21</v>
      </c>
      <c r="V52" t="s">
        <v>196</v>
      </c>
      <c r="W52" t="s">
        <v>197</v>
      </c>
      <c r="X52" t="s">
        <v>34</v>
      </c>
      <c r="Y52" t="s">
        <v>35</v>
      </c>
      <c r="Z52" t="s">
        <v>24</v>
      </c>
      <c r="AA52" t="s">
        <v>81</v>
      </c>
      <c r="AB52">
        <v>14</v>
      </c>
      <c r="AC52" t="s">
        <v>38</v>
      </c>
      <c r="AD52" t="s">
        <v>39</v>
      </c>
      <c r="AE52" t="s">
        <v>82</v>
      </c>
      <c r="AF52">
        <v>4</v>
      </c>
      <c r="AG52">
        <v>0</v>
      </c>
      <c r="AH52" s="1">
        <v>40638</v>
      </c>
      <c r="AI52">
        <v>0</v>
      </c>
      <c r="AJ52">
        <v>6</v>
      </c>
    </row>
    <row r="53" spans="1:36">
      <c r="A53" t="s">
        <v>659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15</v>
      </c>
      <c r="N53" t="s">
        <v>16</v>
      </c>
      <c r="O53">
        <v>2134</v>
      </c>
      <c r="P53" t="s">
        <v>198</v>
      </c>
      <c r="Q53" t="s">
        <v>17</v>
      </c>
      <c r="R53" t="s">
        <v>31</v>
      </c>
      <c r="S53" t="s">
        <v>19</v>
      </c>
      <c r="T53" t="s">
        <v>20</v>
      </c>
      <c r="U53" t="s">
        <v>21</v>
      </c>
      <c r="V53" s="1">
        <v>42528</v>
      </c>
      <c r="X53" t="s">
        <v>22</v>
      </c>
      <c r="Y53" t="s">
        <v>23</v>
      </c>
      <c r="Z53" t="s">
        <v>24</v>
      </c>
      <c r="AA53" t="s">
        <v>72</v>
      </c>
      <c r="AB53">
        <v>12</v>
      </c>
      <c r="AC53" t="s">
        <v>69</v>
      </c>
      <c r="AD53" t="s">
        <v>27</v>
      </c>
      <c r="AE53" t="s">
        <v>199</v>
      </c>
      <c r="AF53">
        <v>4</v>
      </c>
      <c r="AG53">
        <v>0</v>
      </c>
      <c r="AH53" t="s">
        <v>200</v>
      </c>
      <c r="AI53">
        <v>0</v>
      </c>
      <c r="AJ53">
        <v>5</v>
      </c>
    </row>
    <row r="54" spans="1:36">
      <c r="A54" t="s">
        <v>660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15</v>
      </c>
      <c r="N54" t="s">
        <v>16</v>
      </c>
      <c r="O54">
        <v>2452</v>
      </c>
      <c r="P54" s="1">
        <v>28346</v>
      </c>
      <c r="Q54" t="s">
        <v>17</v>
      </c>
      <c r="R54" t="s">
        <v>18</v>
      </c>
      <c r="S54" t="s">
        <v>19</v>
      </c>
      <c r="T54" t="s">
        <v>20</v>
      </c>
      <c r="U54" t="s">
        <v>21</v>
      </c>
      <c r="V54" s="1">
        <v>41493</v>
      </c>
      <c r="X54" t="s">
        <v>22</v>
      </c>
      <c r="Y54" t="s">
        <v>23</v>
      </c>
      <c r="Z54" t="s">
        <v>24</v>
      </c>
      <c r="AA54" t="s">
        <v>81</v>
      </c>
      <c r="AB54">
        <v>14</v>
      </c>
      <c r="AC54" t="s">
        <v>69</v>
      </c>
      <c r="AD54" t="s">
        <v>39</v>
      </c>
      <c r="AE54" t="s">
        <v>103</v>
      </c>
      <c r="AF54">
        <v>5</v>
      </c>
      <c r="AG54">
        <v>0</v>
      </c>
      <c r="AH54" t="s">
        <v>104</v>
      </c>
      <c r="AI54">
        <v>0</v>
      </c>
      <c r="AJ54">
        <v>3</v>
      </c>
    </row>
    <row r="55" spans="1:36">
      <c r="A55" t="s">
        <v>661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15</v>
      </c>
      <c r="N55" t="s">
        <v>16</v>
      </c>
      <c r="O55">
        <v>1880</v>
      </c>
      <c r="P55" s="1">
        <v>29197</v>
      </c>
      <c r="Q55" t="s">
        <v>17</v>
      </c>
      <c r="R55" t="s">
        <v>18</v>
      </c>
      <c r="S55" t="s">
        <v>19</v>
      </c>
      <c r="T55" t="s">
        <v>20</v>
      </c>
      <c r="U55" t="s">
        <v>71</v>
      </c>
      <c r="V55" s="1">
        <v>40854</v>
      </c>
      <c r="W55" t="s">
        <v>201</v>
      </c>
      <c r="X55" t="s">
        <v>108</v>
      </c>
      <c r="Y55" t="s">
        <v>100</v>
      </c>
      <c r="Z55" t="s">
        <v>24</v>
      </c>
      <c r="AA55" t="s">
        <v>47</v>
      </c>
      <c r="AB55">
        <v>20</v>
      </c>
      <c r="AC55" t="s">
        <v>26</v>
      </c>
      <c r="AD55" t="s">
        <v>118</v>
      </c>
      <c r="AE55" t="s">
        <v>119</v>
      </c>
      <c r="AF55">
        <v>3</v>
      </c>
      <c r="AG55">
        <v>0</v>
      </c>
      <c r="AH55" s="1">
        <v>42374</v>
      </c>
      <c r="AI55">
        <v>5</v>
      </c>
      <c r="AJ55">
        <v>16</v>
      </c>
    </row>
    <row r="56" spans="1:36">
      <c r="A56" t="s">
        <v>662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133</v>
      </c>
      <c r="N56" t="s">
        <v>16</v>
      </c>
      <c r="O56">
        <v>1803</v>
      </c>
      <c r="P56" t="s">
        <v>202</v>
      </c>
      <c r="Q56" t="s">
        <v>17</v>
      </c>
      <c r="R56" t="s">
        <v>53</v>
      </c>
      <c r="S56" t="s">
        <v>19</v>
      </c>
      <c r="T56" t="s">
        <v>20</v>
      </c>
      <c r="U56" t="s">
        <v>21</v>
      </c>
      <c r="V56" t="s">
        <v>203</v>
      </c>
      <c r="X56" t="s">
        <v>22</v>
      </c>
      <c r="Y56" t="s">
        <v>23</v>
      </c>
      <c r="Z56" t="s">
        <v>24</v>
      </c>
      <c r="AA56" t="s">
        <v>135</v>
      </c>
      <c r="AB56">
        <v>2</v>
      </c>
      <c r="AC56" t="s">
        <v>117</v>
      </c>
      <c r="AD56" t="s">
        <v>118</v>
      </c>
      <c r="AE56" t="s">
        <v>204</v>
      </c>
      <c r="AF56">
        <v>2</v>
      </c>
      <c r="AG56">
        <v>0</v>
      </c>
      <c r="AH56" t="s">
        <v>104</v>
      </c>
      <c r="AI56">
        <v>3</v>
      </c>
      <c r="AJ56">
        <v>3</v>
      </c>
    </row>
    <row r="57" spans="1:36">
      <c r="A57" t="s">
        <v>663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205</v>
      </c>
      <c r="N57" t="s">
        <v>16</v>
      </c>
      <c r="O57">
        <v>2030</v>
      </c>
      <c r="P57" t="s">
        <v>206</v>
      </c>
      <c r="Q57" t="s">
        <v>17</v>
      </c>
      <c r="R57" t="s">
        <v>18</v>
      </c>
      <c r="S57" t="s">
        <v>19</v>
      </c>
      <c r="T57" t="s">
        <v>20</v>
      </c>
      <c r="U57" t="s">
        <v>71</v>
      </c>
      <c r="V57" s="1">
        <v>39934</v>
      </c>
      <c r="X57" t="s">
        <v>22</v>
      </c>
      <c r="Y57" t="s">
        <v>23</v>
      </c>
      <c r="Z57" t="s">
        <v>24</v>
      </c>
      <c r="AA57" t="s">
        <v>135</v>
      </c>
      <c r="AB57">
        <v>2</v>
      </c>
      <c r="AC57" t="s">
        <v>38</v>
      </c>
      <c r="AD57" t="s">
        <v>27</v>
      </c>
      <c r="AE57" t="s">
        <v>207</v>
      </c>
      <c r="AF57">
        <v>5</v>
      </c>
      <c r="AG57">
        <v>0</v>
      </c>
      <c r="AH57" s="1">
        <v>43557</v>
      </c>
      <c r="AI57">
        <v>0</v>
      </c>
      <c r="AJ57">
        <v>15</v>
      </c>
    </row>
    <row r="58" spans="1:36">
      <c r="A58" t="s">
        <v>664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15</v>
      </c>
      <c r="N58" t="s">
        <v>16</v>
      </c>
      <c r="O58">
        <v>2189</v>
      </c>
      <c r="P58" t="s">
        <v>208</v>
      </c>
      <c r="Q58" t="s">
        <v>44</v>
      </c>
      <c r="R58" t="s">
        <v>31</v>
      </c>
      <c r="S58" t="s">
        <v>19</v>
      </c>
      <c r="T58" t="s">
        <v>79</v>
      </c>
      <c r="U58" t="s">
        <v>21</v>
      </c>
      <c r="V58" s="1">
        <v>42125</v>
      </c>
      <c r="X58" t="s">
        <v>22</v>
      </c>
      <c r="Y58" t="s">
        <v>23</v>
      </c>
      <c r="Z58" t="s">
        <v>24</v>
      </c>
      <c r="AA58" t="s">
        <v>93</v>
      </c>
      <c r="AB58">
        <v>18</v>
      </c>
      <c r="AC58" t="s">
        <v>38</v>
      </c>
      <c r="AD58" t="s">
        <v>39</v>
      </c>
      <c r="AE58" t="s">
        <v>209</v>
      </c>
      <c r="AF58">
        <v>5</v>
      </c>
      <c r="AG58">
        <v>0</v>
      </c>
      <c r="AH58" t="s">
        <v>94</v>
      </c>
      <c r="AI58">
        <v>0</v>
      </c>
      <c r="AJ58">
        <v>6</v>
      </c>
    </row>
    <row r="59" spans="1:36">
      <c r="A59" t="s">
        <v>665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87</v>
      </c>
      <c r="N59" t="s">
        <v>16</v>
      </c>
      <c r="O59">
        <v>1810</v>
      </c>
      <c r="P59" t="s">
        <v>210</v>
      </c>
      <c r="Q59" t="s">
        <v>17</v>
      </c>
      <c r="R59" t="s">
        <v>31</v>
      </c>
      <c r="S59" t="s">
        <v>19</v>
      </c>
      <c r="T59" t="s">
        <v>20</v>
      </c>
      <c r="U59" t="s">
        <v>21</v>
      </c>
      <c r="V59" t="s">
        <v>32</v>
      </c>
      <c r="X59" t="s">
        <v>22</v>
      </c>
      <c r="Y59" t="s">
        <v>23</v>
      </c>
      <c r="Z59" t="s">
        <v>36</v>
      </c>
      <c r="AA59" t="s">
        <v>37</v>
      </c>
      <c r="AB59">
        <v>4</v>
      </c>
      <c r="AC59" t="s">
        <v>38</v>
      </c>
      <c r="AD59" t="s">
        <v>39</v>
      </c>
      <c r="AE59" t="s">
        <v>64</v>
      </c>
      <c r="AF59">
        <v>3</v>
      </c>
      <c r="AG59">
        <v>6</v>
      </c>
      <c r="AH59" t="s">
        <v>211</v>
      </c>
      <c r="AI59">
        <v>0</v>
      </c>
      <c r="AJ59">
        <v>2</v>
      </c>
    </row>
    <row r="60" spans="1:36">
      <c r="A60" t="s">
        <v>666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15</v>
      </c>
      <c r="N60" t="s">
        <v>16</v>
      </c>
      <c r="O60">
        <v>1821</v>
      </c>
      <c r="P60" s="1">
        <v>32054</v>
      </c>
      <c r="Q60" t="s">
        <v>44</v>
      </c>
      <c r="R60" t="s">
        <v>18</v>
      </c>
      <c r="S60" t="s">
        <v>19</v>
      </c>
      <c r="T60" t="s">
        <v>20</v>
      </c>
      <c r="U60" t="s">
        <v>21</v>
      </c>
      <c r="V60" s="1">
        <v>42528</v>
      </c>
      <c r="X60" t="s">
        <v>22</v>
      </c>
      <c r="Y60" t="s">
        <v>23</v>
      </c>
      <c r="Z60" t="s">
        <v>24</v>
      </c>
      <c r="AA60" t="s">
        <v>25</v>
      </c>
      <c r="AB60">
        <v>22</v>
      </c>
      <c r="AC60" t="s">
        <v>26</v>
      </c>
      <c r="AD60" t="s">
        <v>39</v>
      </c>
      <c r="AE60" t="s">
        <v>212</v>
      </c>
      <c r="AF60">
        <v>5</v>
      </c>
      <c r="AG60">
        <v>0</v>
      </c>
      <c r="AH60" t="s">
        <v>213</v>
      </c>
      <c r="AI60">
        <v>0</v>
      </c>
      <c r="AJ60">
        <v>15</v>
      </c>
    </row>
    <row r="61" spans="1:36">
      <c r="A61" t="s">
        <v>667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214</v>
      </c>
      <c r="N61" t="s">
        <v>123</v>
      </c>
      <c r="O61">
        <v>6278</v>
      </c>
      <c r="P61" s="1">
        <v>23994</v>
      </c>
      <c r="Q61" t="s">
        <v>17</v>
      </c>
      <c r="R61" t="s">
        <v>18</v>
      </c>
      <c r="S61" t="s">
        <v>19</v>
      </c>
      <c r="T61" t="s">
        <v>20</v>
      </c>
      <c r="U61" t="s">
        <v>21</v>
      </c>
      <c r="V61" s="1">
        <v>41923</v>
      </c>
      <c r="X61" t="s">
        <v>22</v>
      </c>
      <c r="Y61" t="s">
        <v>23</v>
      </c>
      <c r="Z61" t="s">
        <v>36</v>
      </c>
      <c r="AA61" t="s">
        <v>77</v>
      </c>
      <c r="AB61">
        <v>7</v>
      </c>
      <c r="AC61" t="s">
        <v>69</v>
      </c>
      <c r="AD61" t="s">
        <v>39</v>
      </c>
      <c r="AE61" t="s">
        <v>57</v>
      </c>
      <c r="AF61">
        <v>3</v>
      </c>
      <c r="AG61">
        <v>4</v>
      </c>
      <c r="AH61" s="1">
        <v>43497</v>
      </c>
      <c r="AI61">
        <v>0</v>
      </c>
      <c r="AJ61">
        <v>5</v>
      </c>
    </row>
    <row r="62" spans="1:36">
      <c r="A62" t="s">
        <v>668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215</v>
      </c>
      <c r="N62" t="s">
        <v>171</v>
      </c>
      <c r="O62">
        <v>5473</v>
      </c>
      <c r="P62" t="s">
        <v>216</v>
      </c>
      <c r="Q62" t="s">
        <v>44</v>
      </c>
      <c r="R62" t="s">
        <v>18</v>
      </c>
      <c r="S62" t="s">
        <v>19</v>
      </c>
      <c r="T62" t="s">
        <v>20</v>
      </c>
      <c r="U62" t="s">
        <v>21</v>
      </c>
      <c r="V62" s="1">
        <v>41764</v>
      </c>
      <c r="X62" t="s">
        <v>22</v>
      </c>
      <c r="Y62" t="s">
        <v>23</v>
      </c>
      <c r="Z62" t="s">
        <v>154</v>
      </c>
      <c r="AA62" t="s">
        <v>217</v>
      </c>
      <c r="AB62">
        <v>15</v>
      </c>
      <c r="AC62" t="s">
        <v>38</v>
      </c>
      <c r="AD62" t="s">
        <v>39</v>
      </c>
      <c r="AE62" t="s">
        <v>218</v>
      </c>
      <c r="AF62">
        <v>4</v>
      </c>
      <c r="AG62">
        <v>0</v>
      </c>
      <c r="AH62" t="s">
        <v>219</v>
      </c>
      <c r="AI62">
        <v>0</v>
      </c>
      <c r="AJ62">
        <v>8</v>
      </c>
    </row>
    <row r="63" spans="1:36">
      <c r="A63" t="s">
        <v>669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214</v>
      </c>
      <c r="N63" t="s">
        <v>123</v>
      </c>
      <c r="O63">
        <v>6033</v>
      </c>
      <c r="P63" t="s">
        <v>220</v>
      </c>
      <c r="Q63" t="s">
        <v>44</v>
      </c>
      <c r="R63" t="s">
        <v>31</v>
      </c>
      <c r="S63" t="s">
        <v>19</v>
      </c>
      <c r="T63" t="s">
        <v>20</v>
      </c>
      <c r="U63" t="s">
        <v>21</v>
      </c>
      <c r="V63" s="1">
        <v>41923</v>
      </c>
      <c r="X63" t="s">
        <v>22</v>
      </c>
      <c r="Y63" t="s">
        <v>23</v>
      </c>
      <c r="Z63" t="s">
        <v>36</v>
      </c>
      <c r="AA63" t="s">
        <v>77</v>
      </c>
      <c r="AB63">
        <v>7</v>
      </c>
      <c r="AC63" t="s">
        <v>26</v>
      </c>
      <c r="AD63" t="s">
        <v>39</v>
      </c>
      <c r="AE63" t="s">
        <v>221</v>
      </c>
      <c r="AF63">
        <v>5</v>
      </c>
      <c r="AG63">
        <v>8</v>
      </c>
      <c r="AH63" s="1">
        <v>43801</v>
      </c>
      <c r="AI63">
        <v>0</v>
      </c>
      <c r="AJ63">
        <v>19</v>
      </c>
    </row>
    <row r="64" spans="1:36">
      <c r="A64" t="s">
        <v>670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15</v>
      </c>
      <c r="N64" t="s">
        <v>16</v>
      </c>
      <c r="O64">
        <v>2110</v>
      </c>
      <c r="P64" s="1">
        <v>28621</v>
      </c>
      <c r="Q64" t="s">
        <v>44</v>
      </c>
      <c r="R64" t="s">
        <v>31</v>
      </c>
      <c r="S64" t="s">
        <v>19</v>
      </c>
      <c r="T64" t="s">
        <v>20</v>
      </c>
      <c r="U64" t="s">
        <v>21</v>
      </c>
      <c r="V64" s="1">
        <v>40946</v>
      </c>
      <c r="X64" t="s">
        <v>22</v>
      </c>
      <c r="Y64" t="s">
        <v>23</v>
      </c>
      <c r="Z64" t="s">
        <v>24</v>
      </c>
      <c r="AA64" t="s">
        <v>51</v>
      </c>
      <c r="AB64">
        <v>16</v>
      </c>
      <c r="AC64" t="s">
        <v>38</v>
      </c>
      <c r="AD64" t="s">
        <v>39</v>
      </c>
      <c r="AE64" t="s">
        <v>57</v>
      </c>
      <c r="AF64">
        <v>3</v>
      </c>
      <c r="AG64">
        <v>0</v>
      </c>
      <c r="AH64" t="s">
        <v>70</v>
      </c>
      <c r="AI64">
        <v>0</v>
      </c>
      <c r="AJ64">
        <v>1</v>
      </c>
    </row>
    <row r="65" spans="1:36">
      <c r="A65" t="s">
        <v>671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42</v>
      </c>
      <c r="N65" t="s">
        <v>16</v>
      </c>
      <c r="O65">
        <v>2458</v>
      </c>
      <c r="P65" t="s">
        <v>222</v>
      </c>
      <c r="Q65" t="s">
        <v>17</v>
      </c>
      <c r="R65" t="s">
        <v>18</v>
      </c>
      <c r="S65" t="s">
        <v>106</v>
      </c>
      <c r="T65" t="s">
        <v>20</v>
      </c>
      <c r="U65" t="s">
        <v>91</v>
      </c>
      <c r="V65" s="1">
        <v>40735</v>
      </c>
      <c r="X65" t="s">
        <v>22</v>
      </c>
      <c r="Y65" t="s">
        <v>23</v>
      </c>
      <c r="Z65" t="s">
        <v>24</v>
      </c>
      <c r="AA65" t="s">
        <v>47</v>
      </c>
      <c r="AB65">
        <v>20</v>
      </c>
      <c r="AC65" t="s">
        <v>26</v>
      </c>
      <c r="AD65" t="s">
        <v>39</v>
      </c>
      <c r="AE65" t="s">
        <v>223</v>
      </c>
      <c r="AF65">
        <v>4</v>
      </c>
      <c r="AG65">
        <v>0</v>
      </c>
      <c r="AH65" t="s">
        <v>115</v>
      </c>
      <c r="AI65">
        <v>0</v>
      </c>
      <c r="AJ65">
        <v>6</v>
      </c>
    </row>
    <row r="66" spans="1:36">
      <c r="A66" t="s">
        <v>672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15</v>
      </c>
      <c r="N66" t="s">
        <v>16</v>
      </c>
      <c r="O66">
        <v>2138</v>
      </c>
      <c r="P66" t="s">
        <v>224</v>
      </c>
      <c r="Q66" t="s">
        <v>17</v>
      </c>
      <c r="R66" t="s">
        <v>31</v>
      </c>
      <c r="S66" t="s">
        <v>19</v>
      </c>
      <c r="T66" t="s">
        <v>20</v>
      </c>
      <c r="U66" t="s">
        <v>21</v>
      </c>
      <c r="V66" s="1">
        <v>43350</v>
      </c>
      <c r="X66" t="s">
        <v>22</v>
      </c>
      <c r="Y66" t="s">
        <v>23</v>
      </c>
      <c r="Z66" t="s">
        <v>24</v>
      </c>
      <c r="AA66" t="s">
        <v>72</v>
      </c>
      <c r="AB66">
        <v>12</v>
      </c>
      <c r="AC66" t="s">
        <v>38</v>
      </c>
      <c r="AD66" t="s">
        <v>39</v>
      </c>
      <c r="AE66" t="s">
        <v>225</v>
      </c>
      <c r="AF66">
        <v>4</v>
      </c>
      <c r="AG66">
        <v>3</v>
      </c>
      <c r="AH66" t="s">
        <v>226</v>
      </c>
      <c r="AI66">
        <v>2</v>
      </c>
      <c r="AJ66">
        <v>2</v>
      </c>
    </row>
    <row r="67" spans="1:36">
      <c r="A67" t="s">
        <v>673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15</v>
      </c>
      <c r="N67" t="s">
        <v>16</v>
      </c>
      <c r="O67">
        <v>1810</v>
      </c>
      <c r="P67" t="s">
        <v>227</v>
      </c>
      <c r="Q67" t="s">
        <v>17</v>
      </c>
      <c r="R67" t="s">
        <v>31</v>
      </c>
      <c r="S67" t="s">
        <v>19</v>
      </c>
      <c r="T67" t="s">
        <v>20</v>
      </c>
      <c r="U67" t="s">
        <v>21</v>
      </c>
      <c r="V67" t="s">
        <v>194</v>
      </c>
      <c r="W67" s="1">
        <v>42588</v>
      </c>
      <c r="X67" t="s">
        <v>86</v>
      </c>
      <c r="Y67" t="s">
        <v>35</v>
      </c>
      <c r="Z67" t="s">
        <v>24</v>
      </c>
      <c r="AA67" t="s">
        <v>55</v>
      </c>
      <c r="AB67">
        <v>39</v>
      </c>
      <c r="AC67" t="s">
        <v>38</v>
      </c>
      <c r="AD67" t="s">
        <v>39</v>
      </c>
      <c r="AE67" t="s">
        <v>57</v>
      </c>
      <c r="AF67">
        <v>4</v>
      </c>
      <c r="AG67">
        <v>0</v>
      </c>
      <c r="AH67" s="1">
        <v>42404</v>
      </c>
      <c r="AI67">
        <v>0</v>
      </c>
      <c r="AJ67">
        <v>14</v>
      </c>
    </row>
    <row r="68" spans="1:36">
      <c r="A68" t="s">
        <v>674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60</v>
      </c>
      <c r="N68" t="s">
        <v>16</v>
      </c>
      <c r="O68">
        <v>2176</v>
      </c>
      <c r="P68" s="1">
        <v>28982</v>
      </c>
      <c r="Q68" t="s">
        <v>44</v>
      </c>
      <c r="R68" t="s">
        <v>18</v>
      </c>
      <c r="S68" t="s">
        <v>19</v>
      </c>
      <c r="T68" t="s">
        <v>20</v>
      </c>
      <c r="U68" t="s">
        <v>71</v>
      </c>
      <c r="V68" s="1">
        <v>41153</v>
      </c>
      <c r="X68" t="s">
        <v>22</v>
      </c>
      <c r="Y68" t="s">
        <v>23</v>
      </c>
      <c r="Z68" t="s">
        <v>62</v>
      </c>
      <c r="AA68" t="s">
        <v>63</v>
      </c>
      <c r="AB68">
        <v>10</v>
      </c>
      <c r="AC68" t="s">
        <v>117</v>
      </c>
      <c r="AD68" t="s">
        <v>39</v>
      </c>
      <c r="AE68" t="s">
        <v>228</v>
      </c>
      <c r="AF68">
        <v>5</v>
      </c>
      <c r="AG68">
        <v>5</v>
      </c>
      <c r="AH68" t="s">
        <v>75</v>
      </c>
      <c r="AI68">
        <v>0</v>
      </c>
      <c r="AJ68">
        <v>8</v>
      </c>
    </row>
    <row r="69" spans="1:36">
      <c r="A69" t="s">
        <v>675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151</v>
      </c>
      <c r="N69" t="s">
        <v>229</v>
      </c>
      <c r="O69">
        <v>36006</v>
      </c>
      <c r="P69" s="1">
        <v>27436</v>
      </c>
      <c r="Q69" t="s">
        <v>17</v>
      </c>
      <c r="R69" t="s">
        <v>18</v>
      </c>
      <c r="S69" t="s">
        <v>19</v>
      </c>
      <c r="T69" t="s">
        <v>20</v>
      </c>
      <c r="U69" t="s">
        <v>91</v>
      </c>
      <c r="V69" t="s">
        <v>146</v>
      </c>
      <c r="X69" t="s">
        <v>22</v>
      </c>
      <c r="Y69" t="s">
        <v>23</v>
      </c>
      <c r="Z69" t="s">
        <v>154</v>
      </c>
      <c r="AA69" t="s">
        <v>155</v>
      </c>
      <c r="AB69">
        <v>17</v>
      </c>
      <c r="AC69" t="s">
        <v>38</v>
      </c>
      <c r="AD69" t="s">
        <v>230</v>
      </c>
      <c r="AE69" t="s">
        <v>231</v>
      </c>
      <c r="AF69">
        <v>3</v>
      </c>
      <c r="AG69">
        <v>0</v>
      </c>
      <c r="AH69" t="s">
        <v>167</v>
      </c>
      <c r="AI69">
        <v>6</v>
      </c>
      <c r="AJ69">
        <v>5</v>
      </c>
    </row>
    <row r="70" spans="1:36">
      <c r="A70" t="s">
        <v>676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42</v>
      </c>
      <c r="N70" t="s">
        <v>16</v>
      </c>
      <c r="O70">
        <v>2343</v>
      </c>
      <c r="P70" t="s">
        <v>232</v>
      </c>
      <c r="Q70" t="s">
        <v>44</v>
      </c>
      <c r="R70" t="s">
        <v>149</v>
      </c>
      <c r="S70" t="s">
        <v>19</v>
      </c>
      <c r="T70" t="s">
        <v>20</v>
      </c>
      <c r="U70" t="s">
        <v>71</v>
      </c>
      <c r="V70" s="1">
        <v>40637</v>
      </c>
      <c r="W70" s="1">
        <v>42105</v>
      </c>
      <c r="X70" t="s">
        <v>233</v>
      </c>
      <c r="Y70" t="s">
        <v>35</v>
      </c>
      <c r="Z70" t="s">
        <v>24</v>
      </c>
      <c r="AA70" t="s">
        <v>93</v>
      </c>
      <c r="AB70">
        <v>18</v>
      </c>
      <c r="AC70" t="s">
        <v>56</v>
      </c>
      <c r="AD70" t="s">
        <v>39</v>
      </c>
      <c r="AE70" t="s">
        <v>218</v>
      </c>
      <c r="AF70">
        <v>5</v>
      </c>
      <c r="AG70">
        <v>0</v>
      </c>
      <c r="AH70" s="1">
        <v>42160</v>
      </c>
      <c r="AI70">
        <v>0</v>
      </c>
      <c r="AJ70">
        <v>1</v>
      </c>
    </row>
    <row r="71" spans="1:36">
      <c r="A71" t="s">
        <v>677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15</v>
      </c>
      <c r="N71" t="s">
        <v>16</v>
      </c>
      <c r="O71">
        <v>2061</v>
      </c>
      <c r="P71" t="s">
        <v>234</v>
      </c>
      <c r="Q71" t="s">
        <v>17</v>
      </c>
      <c r="R71" t="s">
        <v>31</v>
      </c>
      <c r="S71" t="s">
        <v>19</v>
      </c>
      <c r="T71" t="s">
        <v>20</v>
      </c>
      <c r="U71" t="s">
        <v>21</v>
      </c>
      <c r="V71" s="1">
        <v>41827</v>
      </c>
      <c r="X71" t="s">
        <v>22</v>
      </c>
      <c r="Y71" t="s">
        <v>23</v>
      </c>
      <c r="Z71" t="s">
        <v>24</v>
      </c>
      <c r="AA71" t="s">
        <v>59</v>
      </c>
      <c r="AB71">
        <v>11</v>
      </c>
      <c r="AC71" t="s">
        <v>38</v>
      </c>
      <c r="AD71" t="s">
        <v>230</v>
      </c>
      <c r="AE71" t="s">
        <v>235</v>
      </c>
      <c r="AF71">
        <v>2</v>
      </c>
      <c r="AG71">
        <v>0</v>
      </c>
      <c r="AH71" t="s">
        <v>226</v>
      </c>
      <c r="AI71">
        <v>4</v>
      </c>
      <c r="AJ71">
        <v>9</v>
      </c>
    </row>
    <row r="72" spans="1:36">
      <c r="A72" t="s">
        <v>678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236</v>
      </c>
      <c r="N72" t="s">
        <v>16</v>
      </c>
      <c r="O72">
        <v>2045</v>
      </c>
      <c r="P72" s="1">
        <v>30415</v>
      </c>
      <c r="Q72" t="s">
        <v>17</v>
      </c>
      <c r="R72" t="s">
        <v>18</v>
      </c>
      <c r="S72" t="s">
        <v>19</v>
      </c>
      <c r="T72" t="s">
        <v>20</v>
      </c>
      <c r="U72" t="s">
        <v>21</v>
      </c>
      <c r="V72" t="s">
        <v>237</v>
      </c>
      <c r="X72" t="s">
        <v>22</v>
      </c>
      <c r="Y72" t="s">
        <v>23</v>
      </c>
      <c r="Z72" t="s">
        <v>36</v>
      </c>
      <c r="AA72" t="s">
        <v>238</v>
      </c>
      <c r="AB72">
        <v>13</v>
      </c>
      <c r="AC72" t="s">
        <v>38</v>
      </c>
      <c r="AD72" t="s">
        <v>39</v>
      </c>
      <c r="AE72" t="s">
        <v>239</v>
      </c>
      <c r="AF72">
        <v>5</v>
      </c>
      <c r="AG72">
        <v>7</v>
      </c>
      <c r="AH72" t="s">
        <v>240</v>
      </c>
      <c r="AI72">
        <v>0</v>
      </c>
      <c r="AJ72">
        <v>15</v>
      </c>
    </row>
    <row r="73" spans="1:36">
      <c r="A73" t="s">
        <v>679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15</v>
      </c>
      <c r="N73" t="s">
        <v>16</v>
      </c>
      <c r="O73">
        <v>2180</v>
      </c>
      <c r="P73" t="s">
        <v>241</v>
      </c>
      <c r="Q73" t="s">
        <v>17</v>
      </c>
      <c r="R73" t="s">
        <v>18</v>
      </c>
      <c r="S73" t="s">
        <v>19</v>
      </c>
      <c r="T73" t="s">
        <v>20</v>
      </c>
      <c r="U73" t="s">
        <v>21</v>
      </c>
      <c r="V73" s="1">
        <v>41978</v>
      </c>
      <c r="X73" t="s">
        <v>22</v>
      </c>
      <c r="Y73" t="s">
        <v>23</v>
      </c>
      <c r="Z73" t="s">
        <v>24</v>
      </c>
      <c r="AA73" t="s">
        <v>68</v>
      </c>
      <c r="AB73">
        <v>19</v>
      </c>
      <c r="AC73" t="s">
        <v>38</v>
      </c>
      <c r="AD73" t="s">
        <v>39</v>
      </c>
      <c r="AE73" t="s">
        <v>187</v>
      </c>
      <c r="AF73">
        <v>4</v>
      </c>
      <c r="AG73">
        <v>0</v>
      </c>
      <c r="AH73" t="s">
        <v>176</v>
      </c>
      <c r="AI73">
        <v>0</v>
      </c>
      <c r="AJ73">
        <v>1</v>
      </c>
    </row>
    <row r="74" spans="1:36">
      <c r="A74" t="s">
        <v>680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151</v>
      </c>
      <c r="N74" t="s">
        <v>242</v>
      </c>
      <c r="O74">
        <v>98052</v>
      </c>
      <c r="P74" t="s">
        <v>243</v>
      </c>
      <c r="Q74" t="s">
        <v>44</v>
      </c>
      <c r="R74" t="s">
        <v>18</v>
      </c>
      <c r="S74" t="s">
        <v>19</v>
      </c>
      <c r="T74" t="s">
        <v>79</v>
      </c>
      <c r="U74" t="s">
        <v>21</v>
      </c>
      <c r="V74" t="s">
        <v>92</v>
      </c>
      <c r="X74" t="s">
        <v>22</v>
      </c>
      <c r="Y74" t="s">
        <v>23</v>
      </c>
      <c r="Z74" t="s">
        <v>154</v>
      </c>
      <c r="AA74" t="s">
        <v>155</v>
      </c>
      <c r="AB74">
        <v>17</v>
      </c>
      <c r="AC74" t="s">
        <v>244</v>
      </c>
      <c r="AD74" t="s">
        <v>230</v>
      </c>
      <c r="AE74" t="s">
        <v>245</v>
      </c>
      <c r="AF74">
        <v>1</v>
      </c>
      <c r="AG74">
        <v>0</v>
      </c>
      <c r="AH74" t="s">
        <v>246</v>
      </c>
      <c r="AI74">
        <v>2</v>
      </c>
      <c r="AJ74">
        <v>17</v>
      </c>
    </row>
    <row r="75" spans="1:36">
      <c r="A75" t="s">
        <v>681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15</v>
      </c>
      <c r="N75" t="s">
        <v>16</v>
      </c>
      <c r="O75">
        <v>2351</v>
      </c>
      <c r="P75" s="1">
        <v>28533</v>
      </c>
      <c r="Q75" t="s">
        <v>44</v>
      </c>
      <c r="R75" t="s">
        <v>31</v>
      </c>
      <c r="S75" t="s">
        <v>19</v>
      </c>
      <c r="T75" t="s">
        <v>20</v>
      </c>
      <c r="U75" t="s">
        <v>71</v>
      </c>
      <c r="V75" s="1">
        <v>41456</v>
      </c>
      <c r="X75" t="s">
        <v>22</v>
      </c>
      <c r="Y75" t="s">
        <v>23</v>
      </c>
      <c r="Z75" t="s">
        <v>24</v>
      </c>
      <c r="AA75" t="s">
        <v>72</v>
      </c>
      <c r="AB75">
        <v>12</v>
      </c>
      <c r="AC75" t="s">
        <v>38</v>
      </c>
      <c r="AD75" t="s">
        <v>118</v>
      </c>
      <c r="AE75" t="s">
        <v>247</v>
      </c>
      <c r="AF75">
        <v>4</v>
      </c>
      <c r="AG75">
        <v>0</v>
      </c>
      <c r="AH75" t="s">
        <v>248</v>
      </c>
      <c r="AI75">
        <v>0</v>
      </c>
      <c r="AJ75">
        <v>6</v>
      </c>
    </row>
    <row r="76" spans="1:36">
      <c r="A76" t="s">
        <v>682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15</v>
      </c>
      <c r="N76" t="s">
        <v>16</v>
      </c>
      <c r="O76">
        <v>2125</v>
      </c>
      <c r="P76" s="1">
        <v>31603</v>
      </c>
      <c r="Q76" t="s">
        <v>44</v>
      </c>
      <c r="R76" t="s">
        <v>18</v>
      </c>
      <c r="S76" t="s">
        <v>19</v>
      </c>
      <c r="T76" t="s">
        <v>79</v>
      </c>
      <c r="U76" t="s">
        <v>21</v>
      </c>
      <c r="V76" s="1">
        <v>40943</v>
      </c>
      <c r="X76" t="s">
        <v>22</v>
      </c>
      <c r="Y76" t="s">
        <v>23</v>
      </c>
      <c r="Z76" t="s">
        <v>24</v>
      </c>
      <c r="AA76" t="s">
        <v>81</v>
      </c>
      <c r="AB76">
        <v>14</v>
      </c>
      <c r="AC76" t="s">
        <v>117</v>
      </c>
      <c r="AD76" t="s">
        <v>39</v>
      </c>
      <c r="AE76" t="s">
        <v>249</v>
      </c>
      <c r="AF76">
        <v>5</v>
      </c>
      <c r="AG76">
        <v>0</v>
      </c>
      <c r="AH76" t="s">
        <v>176</v>
      </c>
      <c r="AI76">
        <v>0</v>
      </c>
      <c r="AJ76">
        <v>15</v>
      </c>
    </row>
    <row r="77" spans="1:36">
      <c r="A77" t="s">
        <v>683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76</v>
      </c>
      <c r="N77" t="s">
        <v>16</v>
      </c>
      <c r="O77">
        <v>2119</v>
      </c>
      <c r="P77" t="s">
        <v>250</v>
      </c>
      <c r="Q77" t="s">
        <v>44</v>
      </c>
      <c r="R77" t="s">
        <v>31</v>
      </c>
      <c r="S77" t="s">
        <v>19</v>
      </c>
      <c r="T77" t="s">
        <v>20</v>
      </c>
      <c r="U77" t="s">
        <v>21</v>
      </c>
      <c r="V77" s="1">
        <v>42125</v>
      </c>
      <c r="X77" t="s">
        <v>22</v>
      </c>
      <c r="Y77" t="s">
        <v>23</v>
      </c>
      <c r="Z77" t="s">
        <v>36</v>
      </c>
      <c r="AA77" t="s">
        <v>77</v>
      </c>
      <c r="AB77">
        <v>7</v>
      </c>
      <c r="AC77" t="s">
        <v>69</v>
      </c>
      <c r="AD77" t="s">
        <v>39</v>
      </c>
      <c r="AE77" t="s">
        <v>251</v>
      </c>
      <c r="AF77">
        <v>4</v>
      </c>
      <c r="AG77">
        <v>6</v>
      </c>
      <c r="AH77" t="s">
        <v>70</v>
      </c>
      <c r="AI77">
        <v>0</v>
      </c>
      <c r="AJ77">
        <v>16</v>
      </c>
    </row>
    <row r="78" spans="1:36">
      <c r="A78" t="s">
        <v>684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252</v>
      </c>
      <c r="N78" t="s">
        <v>16</v>
      </c>
      <c r="O78">
        <v>1886</v>
      </c>
      <c r="P78" s="1">
        <v>25818</v>
      </c>
      <c r="Q78" t="s">
        <v>17</v>
      </c>
      <c r="R78" t="s">
        <v>18</v>
      </c>
      <c r="S78" t="s">
        <v>19</v>
      </c>
      <c r="T78" t="s">
        <v>20</v>
      </c>
      <c r="U78" t="s">
        <v>71</v>
      </c>
      <c r="V78" s="1">
        <v>41760</v>
      </c>
      <c r="X78" t="s">
        <v>22</v>
      </c>
      <c r="Y78" t="s">
        <v>23</v>
      </c>
      <c r="Z78" t="s">
        <v>36</v>
      </c>
      <c r="AA78" t="s">
        <v>163</v>
      </c>
      <c r="AB78">
        <v>5</v>
      </c>
      <c r="AC78" t="s">
        <v>38</v>
      </c>
      <c r="AD78" t="s">
        <v>27</v>
      </c>
      <c r="AE78" t="s">
        <v>187</v>
      </c>
      <c r="AF78">
        <v>5</v>
      </c>
      <c r="AG78">
        <v>5</v>
      </c>
      <c r="AH78" s="1">
        <v>43556</v>
      </c>
      <c r="AI78">
        <v>0</v>
      </c>
      <c r="AJ78">
        <v>4</v>
      </c>
    </row>
    <row r="79" spans="1:36">
      <c r="A79" t="s">
        <v>685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151</v>
      </c>
      <c r="N79" t="s">
        <v>253</v>
      </c>
      <c r="O79">
        <v>90007</v>
      </c>
      <c r="P79" s="1">
        <v>32366</v>
      </c>
      <c r="Q79" t="s">
        <v>44</v>
      </c>
      <c r="R79" t="s">
        <v>18</v>
      </c>
      <c r="S79" t="s">
        <v>19</v>
      </c>
      <c r="T79" t="s">
        <v>20</v>
      </c>
      <c r="U79" t="s">
        <v>21</v>
      </c>
      <c r="V79" s="1">
        <v>40817</v>
      </c>
      <c r="X79" t="s">
        <v>22</v>
      </c>
      <c r="Y79" t="s">
        <v>23</v>
      </c>
      <c r="Z79" t="s">
        <v>154</v>
      </c>
      <c r="AA79" t="s">
        <v>180</v>
      </c>
      <c r="AB79">
        <v>21</v>
      </c>
      <c r="AC79" t="s">
        <v>38</v>
      </c>
      <c r="AD79" t="s">
        <v>27</v>
      </c>
      <c r="AE79" t="s">
        <v>254</v>
      </c>
      <c r="AF79">
        <v>5</v>
      </c>
      <c r="AG79">
        <v>0</v>
      </c>
      <c r="AH79" t="s">
        <v>255</v>
      </c>
      <c r="AI79">
        <v>0</v>
      </c>
      <c r="AJ79">
        <v>14</v>
      </c>
    </row>
    <row r="80" spans="1:36">
      <c r="A80" t="s">
        <v>686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133</v>
      </c>
      <c r="N80" t="s">
        <v>16</v>
      </c>
      <c r="O80">
        <v>1731</v>
      </c>
      <c r="P80" t="s">
        <v>256</v>
      </c>
      <c r="Q80" t="s">
        <v>44</v>
      </c>
      <c r="R80" t="s">
        <v>18</v>
      </c>
      <c r="S80" t="s">
        <v>19</v>
      </c>
      <c r="T80" t="s">
        <v>20</v>
      </c>
      <c r="U80" t="s">
        <v>21</v>
      </c>
      <c r="V80" t="s">
        <v>257</v>
      </c>
      <c r="X80" t="s">
        <v>22</v>
      </c>
      <c r="Y80" t="s">
        <v>23</v>
      </c>
      <c r="Z80" t="s">
        <v>24</v>
      </c>
      <c r="AA80" t="s">
        <v>135</v>
      </c>
      <c r="AB80">
        <v>2</v>
      </c>
      <c r="AC80" t="s">
        <v>56</v>
      </c>
      <c r="AD80" t="s">
        <v>39</v>
      </c>
      <c r="AE80" t="s">
        <v>258</v>
      </c>
      <c r="AF80">
        <v>4</v>
      </c>
      <c r="AG80">
        <v>0</v>
      </c>
      <c r="AH80" t="s">
        <v>144</v>
      </c>
      <c r="AI80">
        <v>0</v>
      </c>
      <c r="AJ80">
        <v>4</v>
      </c>
    </row>
    <row r="81" spans="1:36">
      <c r="A81" t="s">
        <v>687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15</v>
      </c>
      <c r="N81" t="s">
        <v>16</v>
      </c>
      <c r="O81">
        <v>1749</v>
      </c>
      <c r="P81" t="s">
        <v>259</v>
      </c>
      <c r="Q81" t="s">
        <v>44</v>
      </c>
      <c r="R81" t="s">
        <v>31</v>
      </c>
      <c r="S81" t="s">
        <v>19</v>
      </c>
      <c r="T81" t="s">
        <v>20</v>
      </c>
      <c r="U81" t="s">
        <v>21</v>
      </c>
      <c r="V81" t="s">
        <v>260</v>
      </c>
      <c r="X81" t="s">
        <v>22</v>
      </c>
      <c r="Y81" t="s">
        <v>23</v>
      </c>
      <c r="Z81" t="s">
        <v>24</v>
      </c>
      <c r="AA81" t="s">
        <v>68</v>
      </c>
      <c r="AB81">
        <v>19</v>
      </c>
      <c r="AC81" t="s">
        <v>56</v>
      </c>
      <c r="AD81" t="s">
        <v>39</v>
      </c>
      <c r="AE81" t="s">
        <v>261</v>
      </c>
      <c r="AF81">
        <v>3</v>
      </c>
      <c r="AG81">
        <v>0</v>
      </c>
      <c r="AH81" t="s">
        <v>150</v>
      </c>
      <c r="AI81">
        <v>0</v>
      </c>
      <c r="AJ81">
        <v>6</v>
      </c>
    </row>
    <row r="82" spans="1:36">
      <c r="A82" t="s">
        <v>688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15</v>
      </c>
      <c r="N82" t="s">
        <v>16</v>
      </c>
      <c r="O82">
        <v>2343</v>
      </c>
      <c r="P82" s="1">
        <v>33367</v>
      </c>
      <c r="Q82" t="s">
        <v>44</v>
      </c>
      <c r="R82" t="s">
        <v>31</v>
      </c>
      <c r="S82" t="s">
        <v>19</v>
      </c>
      <c r="T82" t="s">
        <v>20</v>
      </c>
      <c r="U82" t="s">
        <v>21</v>
      </c>
      <c r="V82" s="1">
        <v>40637</v>
      </c>
      <c r="W82" s="1">
        <v>42892</v>
      </c>
      <c r="X82" t="s">
        <v>262</v>
      </c>
      <c r="Y82" t="s">
        <v>35</v>
      </c>
      <c r="Z82" t="s">
        <v>24</v>
      </c>
      <c r="AA82" t="s">
        <v>47</v>
      </c>
      <c r="AB82">
        <v>20</v>
      </c>
      <c r="AC82" t="s">
        <v>56</v>
      </c>
      <c r="AD82" t="s">
        <v>39</v>
      </c>
      <c r="AE82" t="s">
        <v>57</v>
      </c>
      <c r="AF82">
        <v>3</v>
      </c>
      <c r="AG82">
        <v>0</v>
      </c>
      <c r="AH82" s="1">
        <v>42982</v>
      </c>
      <c r="AI82">
        <v>0</v>
      </c>
      <c r="AJ82">
        <v>7</v>
      </c>
    </row>
    <row r="83" spans="1:36">
      <c r="A83" t="s">
        <v>689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15</v>
      </c>
      <c r="N83" t="s">
        <v>16</v>
      </c>
      <c r="O83">
        <v>2026</v>
      </c>
      <c r="P83" t="s">
        <v>263</v>
      </c>
      <c r="Q83" t="s">
        <v>17</v>
      </c>
      <c r="R83" t="s">
        <v>18</v>
      </c>
      <c r="S83" t="s">
        <v>19</v>
      </c>
      <c r="T83" t="s">
        <v>20</v>
      </c>
      <c r="U83" t="s">
        <v>21</v>
      </c>
      <c r="V83" s="1">
        <v>41923</v>
      </c>
      <c r="X83" t="s">
        <v>22</v>
      </c>
      <c r="Y83" t="s">
        <v>23</v>
      </c>
      <c r="Z83" t="s">
        <v>24</v>
      </c>
      <c r="AA83" t="s">
        <v>93</v>
      </c>
      <c r="AB83">
        <v>18</v>
      </c>
      <c r="AC83" t="s">
        <v>26</v>
      </c>
      <c r="AD83" t="s">
        <v>39</v>
      </c>
      <c r="AE83" t="s">
        <v>192</v>
      </c>
      <c r="AF83">
        <v>5</v>
      </c>
      <c r="AG83">
        <v>0</v>
      </c>
      <c r="AH83" t="s">
        <v>264</v>
      </c>
      <c r="AI83">
        <v>0</v>
      </c>
      <c r="AJ83">
        <v>8</v>
      </c>
    </row>
    <row r="84" spans="1:36">
      <c r="A84" t="s">
        <v>690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15</v>
      </c>
      <c r="N84" t="s">
        <v>16</v>
      </c>
      <c r="O84">
        <v>2045</v>
      </c>
      <c r="P84" t="s">
        <v>265</v>
      </c>
      <c r="Q84" t="s">
        <v>17</v>
      </c>
      <c r="R84" t="s">
        <v>31</v>
      </c>
      <c r="S84" t="s">
        <v>19</v>
      </c>
      <c r="T84" t="s">
        <v>20</v>
      </c>
      <c r="U84" t="s">
        <v>21</v>
      </c>
      <c r="V84" t="s">
        <v>168</v>
      </c>
      <c r="X84" t="s">
        <v>22</v>
      </c>
      <c r="Y84" t="s">
        <v>23</v>
      </c>
      <c r="Z84" t="s">
        <v>24</v>
      </c>
      <c r="AA84" t="s">
        <v>93</v>
      </c>
      <c r="AB84">
        <v>18</v>
      </c>
      <c r="AC84" t="s">
        <v>69</v>
      </c>
      <c r="AD84" t="s">
        <v>39</v>
      </c>
      <c r="AE84" t="s">
        <v>82</v>
      </c>
      <c r="AF84">
        <v>3</v>
      </c>
      <c r="AG84">
        <v>0</v>
      </c>
      <c r="AH84" s="1">
        <v>43770</v>
      </c>
      <c r="AI84">
        <v>0</v>
      </c>
      <c r="AJ84">
        <v>3</v>
      </c>
    </row>
    <row r="85" spans="1:36">
      <c r="A85" t="s">
        <v>691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42</v>
      </c>
      <c r="N85" t="s">
        <v>16</v>
      </c>
      <c r="O85">
        <v>2133</v>
      </c>
      <c r="P85" t="s">
        <v>266</v>
      </c>
      <c r="Q85" t="s">
        <v>44</v>
      </c>
      <c r="R85" t="s">
        <v>149</v>
      </c>
      <c r="S85" t="s">
        <v>19</v>
      </c>
      <c r="T85" t="s">
        <v>20</v>
      </c>
      <c r="U85" t="s">
        <v>21</v>
      </c>
      <c r="V85" s="1">
        <v>41827</v>
      </c>
      <c r="X85" t="s">
        <v>22</v>
      </c>
      <c r="Y85" t="s">
        <v>23</v>
      </c>
      <c r="Z85" t="s">
        <v>24</v>
      </c>
      <c r="AA85" t="s">
        <v>25</v>
      </c>
      <c r="AB85">
        <v>22</v>
      </c>
      <c r="AC85" t="s">
        <v>38</v>
      </c>
      <c r="AD85" t="s">
        <v>230</v>
      </c>
      <c r="AE85" t="s">
        <v>181</v>
      </c>
      <c r="AF85">
        <v>1</v>
      </c>
      <c r="AG85">
        <v>0</v>
      </c>
      <c r="AH85" t="s">
        <v>70</v>
      </c>
      <c r="AI85">
        <v>2</v>
      </c>
      <c r="AJ85">
        <v>5</v>
      </c>
    </row>
    <row r="86" spans="1:36">
      <c r="A86" t="s">
        <v>692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15</v>
      </c>
      <c r="N86" t="s">
        <v>16</v>
      </c>
      <c r="O86">
        <v>2129</v>
      </c>
      <c r="P86" s="1">
        <v>30356</v>
      </c>
      <c r="Q86" t="s">
        <v>17</v>
      </c>
      <c r="R86" t="s">
        <v>18</v>
      </c>
      <c r="S86" t="s">
        <v>19</v>
      </c>
      <c r="T86" t="s">
        <v>20</v>
      </c>
      <c r="U86" t="s">
        <v>21</v>
      </c>
      <c r="V86" s="1">
        <v>40943</v>
      </c>
      <c r="W86" t="s">
        <v>267</v>
      </c>
      <c r="X86" t="s">
        <v>99</v>
      </c>
      <c r="Y86" t="s">
        <v>100</v>
      </c>
      <c r="Z86" t="s">
        <v>24</v>
      </c>
      <c r="AA86" t="s">
        <v>25</v>
      </c>
      <c r="AB86">
        <v>22</v>
      </c>
      <c r="AC86" t="s">
        <v>56</v>
      </c>
      <c r="AD86" t="s">
        <v>118</v>
      </c>
      <c r="AE86" t="s">
        <v>57</v>
      </c>
      <c r="AF86">
        <v>4</v>
      </c>
      <c r="AG86">
        <v>0</v>
      </c>
      <c r="AH86" s="1">
        <v>43438</v>
      </c>
      <c r="AI86">
        <v>5</v>
      </c>
      <c r="AJ86">
        <v>16</v>
      </c>
    </row>
    <row r="87" spans="1:36">
      <c r="A87" t="s">
        <v>693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15</v>
      </c>
      <c r="N87" t="s">
        <v>16</v>
      </c>
      <c r="O87">
        <v>2458</v>
      </c>
      <c r="P87" s="1">
        <v>32664</v>
      </c>
      <c r="Q87" t="s">
        <v>44</v>
      </c>
      <c r="R87" t="s">
        <v>18</v>
      </c>
      <c r="S87" t="s">
        <v>19</v>
      </c>
      <c r="T87" t="s">
        <v>20</v>
      </c>
      <c r="U87" t="s">
        <v>21</v>
      </c>
      <c r="V87" t="s">
        <v>125</v>
      </c>
      <c r="W87" t="s">
        <v>268</v>
      </c>
      <c r="X87" t="s">
        <v>269</v>
      </c>
      <c r="Y87" t="s">
        <v>100</v>
      </c>
      <c r="Z87" t="s">
        <v>24</v>
      </c>
      <c r="AA87" t="s">
        <v>51</v>
      </c>
      <c r="AB87">
        <v>16</v>
      </c>
      <c r="AC87" t="s">
        <v>56</v>
      </c>
      <c r="AD87" t="s">
        <v>118</v>
      </c>
      <c r="AE87" t="s">
        <v>245</v>
      </c>
      <c r="AF87">
        <v>3</v>
      </c>
      <c r="AG87">
        <v>0</v>
      </c>
      <c r="AH87" t="s">
        <v>270</v>
      </c>
      <c r="AI87">
        <v>5</v>
      </c>
      <c r="AJ87">
        <v>19</v>
      </c>
    </row>
    <row r="88" spans="1:36">
      <c r="A88" t="s">
        <v>694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60</v>
      </c>
      <c r="N88" t="s">
        <v>16</v>
      </c>
      <c r="O88">
        <v>1749</v>
      </c>
      <c r="P88" t="s">
        <v>271</v>
      </c>
      <c r="Q88" t="s">
        <v>44</v>
      </c>
      <c r="R88" t="s">
        <v>31</v>
      </c>
      <c r="S88" t="s">
        <v>19</v>
      </c>
      <c r="T88" t="s">
        <v>20</v>
      </c>
      <c r="U88" t="s">
        <v>71</v>
      </c>
      <c r="V88" s="1">
        <v>40579</v>
      </c>
      <c r="W88" s="1">
        <v>41400</v>
      </c>
      <c r="X88" t="s">
        <v>99</v>
      </c>
      <c r="Y88" t="s">
        <v>100</v>
      </c>
      <c r="Z88" t="s">
        <v>62</v>
      </c>
      <c r="AA88" t="s">
        <v>63</v>
      </c>
      <c r="AB88">
        <v>10</v>
      </c>
      <c r="AC88" t="s">
        <v>38</v>
      </c>
      <c r="AD88" t="s">
        <v>118</v>
      </c>
      <c r="AE88" t="s">
        <v>272</v>
      </c>
      <c r="AF88">
        <v>5</v>
      </c>
      <c r="AG88">
        <v>4</v>
      </c>
      <c r="AH88" s="1">
        <v>41190</v>
      </c>
      <c r="AI88">
        <v>4</v>
      </c>
      <c r="AJ88">
        <v>19</v>
      </c>
    </row>
    <row r="89" spans="1:36">
      <c r="A89" t="s">
        <v>695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42</v>
      </c>
      <c r="N89" t="s">
        <v>16</v>
      </c>
      <c r="O89">
        <v>1824</v>
      </c>
      <c r="P89" t="s">
        <v>273</v>
      </c>
      <c r="Q89" t="s">
        <v>44</v>
      </c>
      <c r="R89" t="s">
        <v>31</v>
      </c>
      <c r="S89" t="s">
        <v>19</v>
      </c>
      <c r="T89" t="s">
        <v>20</v>
      </c>
      <c r="U89" t="s">
        <v>71</v>
      </c>
      <c r="V89" s="1">
        <v>41827</v>
      </c>
      <c r="X89" t="s">
        <v>22</v>
      </c>
      <c r="Y89" t="s">
        <v>23</v>
      </c>
      <c r="Z89" t="s">
        <v>24</v>
      </c>
      <c r="AA89" t="s">
        <v>51</v>
      </c>
      <c r="AB89">
        <v>16</v>
      </c>
      <c r="AC89" t="s">
        <v>26</v>
      </c>
      <c r="AD89" t="s">
        <v>39</v>
      </c>
      <c r="AE89" t="s">
        <v>103</v>
      </c>
      <c r="AF89">
        <v>5</v>
      </c>
      <c r="AG89">
        <v>0</v>
      </c>
      <c r="AH89" t="s">
        <v>166</v>
      </c>
      <c r="AI89">
        <v>0</v>
      </c>
      <c r="AJ89">
        <v>17</v>
      </c>
    </row>
    <row r="90" spans="1:36">
      <c r="A90" t="s">
        <v>696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42</v>
      </c>
      <c r="N90" t="s">
        <v>16</v>
      </c>
      <c r="O90">
        <v>2324</v>
      </c>
      <c r="P90" t="s">
        <v>274</v>
      </c>
      <c r="Q90" t="s">
        <v>44</v>
      </c>
      <c r="R90" t="s">
        <v>18</v>
      </c>
      <c r="S90" t="s">
        <v>19</v>
      </c>
      <c r="T90" t="s">
        <v>20</v>
      </c>
      <c r="U90" t="s">
        <v>71</v>
      </c>
      <c r="V90" t="s">
        <v>125</v>
      </c>
      <c r="X90" t="s">
        <v>22</v>
      </c>
      <c r="Y90" t="s">
        <v>23</v>
      </c>
      <c r="Z90" t="s">
        <v>24</v>
      </c>
      <c r="AA90" t="s">
        <v>55</v>
      </c>
      <c r="AC90" t="s">
        <v>26</v>
      </c>
      <c r="AD90" t="s">
        <v>39</v>
      </c>
      <c r="AE90" t="s">
        <v>275</v>
      </c>
      <c r="AF90">
        <v>4</v>
      </c>
      <c r="AG90">
        <v>0</v>
      </c>
      <c r="AH90" s="1">
        <v>43647</v>
      </c>
      <c r="AI90">
        <v>0</v>
      </c>
      <c r="AJ90">
        <v>7</v>
      </c>
    </row>
    <row r="91" spans="1:36">
      <c r="A91" t="s">
        <v>697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15</v>
      </c>
      <c r="N91" t="s">
        <v>16</v>
      </c>
      <c r="O91">
        <v>2176</v>
      </c>
      <c r="P91" t="s">
        <v>276</v>
      </c>
      <c r="Q91" t="s">
        <v>44</v>
      </c>
      <c r="R91" t="s">
        <v>31</v>
      </c>
      <c r="S91" t="s">
        <v>19</v>
      </c>
      <c r="T91" t="s">
        <v>20</v>
      </c>
      <c r="U91" t="s">
        <v>21</v>
      </c>
      <c r="V91" s="1">
        <v>40735</v>
      </c>
      <c r="W91" t="s">
        <v>277</v>
      </c>
      <c r="X91" t="s">
        <v>262</v>
      </c>
      <c r="Y91" t="s">
        <v>35</v>
      </c>
      <c r="Z91" t="s">
        <v>24</v>
      </c>
      <c r="AA91" t="s">
        <v>55</v>
      </c>
      <c r="AB91">
        <v>39</v>
      </c>
      <c r="AC91" t="s">
        <v>56</v>
      </c>
      <c r="AD91" t="s">
        <v>39</v>
      </c>
      <c r="AE91" t="s">
        <v>278</v>
      </c>
      <c r="AF91">
        <v>3</v>
      </c>
      <c r="AG91">
        <v>0</v>
      </c>
      <c r="AH91" s="1">
        <v>42462</v>
      </c>
      <c r="AI91">
        <v>0</v>
      </c>
      <c r="AJ91">
        <v>16</v>
      </c>
    </row>
    <row r="92" spans="1:36">
      <c r="A92" t="s">
        <v>698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15</v>
      </c>
      <c r="N92" t="s">
        <v>16</v>
      </c>
      <c r="O92">
        <v>2132</v>
      </c>
      <c r="P92" t="s">
        <v>279</v>
      </c>
      <c r="Q92" t="s">
        <v>17</v>
      </c>
      <c r="R92" t="s">
        <v>31</v>
      </c>
      <c r="S92" t="s">
        <v>19</v>
      </c>
      <c r="T92" t="s">
        <v>20</v>
      </c>
      <c r="U92" t="s">
        <v>21</v>
      </c>
      <c r="V92" s="1">
        <v>42313</v>
      </c>
      <c r="X92" t="s">
        <v>22</v>
      </c>
      <c r="Y92" t="s">
        <v>23</v>
      </c>
      <c r="Z92" t="s">
        <v>24</v>
      </c>
      <c r="AA92" t="s">
        <v>59</v>
      </c>
      <c r="AB92">
        <v>11</v>
      </c>
      <c r="AC92" t="s">
        <v>38</v>
      </c>
      <c r="AD92" t="s">
        <v>230</v>
      </c>
      <c r="AE92" t="s">
        <v>280</v>
      </c>
      <c r="AF92">
        <v>5</v>
      </c>
      <c r="AG92">
        <v>0</v>
      </c>
      <c r="AH92" s="1">
        <v>43525</v>
      </c>
      <c r="AI92">
        <v>6</v>
      </c>
      <c r="AJ92">
        <v>15</v>
      </c>
    </row>
    <row r="93" spans="1:36">
      <c r="A93" t="s">
        <v>699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281</v>
      </c>
      <c r="N93" t="s">
        <v>16</v>
      </c>
      <c r="O93">
        <v>2138</v>
      </c>
      <c r="P93" t="s">
        <v>282</v>
      </c>
      <c r="Q93" t="s">
        <v>17</v>
      </c>
      <c r="R93" t="s">
        <v>18</v>
      </c>
      <c r="S93" t="s">
        <v>19</v>
      </c>
      <c r="T93" t="s">
        <v>20</v>
      </c>
      <c r="U93" t="s">
        <v>21</v>
      </c>
      <c r="V93" t="s">
        <v>32</v>
      </c>
      <c r="X93" t="s">
        <v>22</v>
      </c>
      <c r="Y93" t="s">
        <v>23</v>
      </c>
      <c r="Z93" t="s">
        <v>36</v>
      </c>
      <c r="AA93" t="s">
        <v>77</v>
      </c>
      <c r="AB93">
        <v>7</v>
      </c>
      <c r="AC93" t="s">
        <v>26</v>
      </c>
      <c r="AD93" t="s">
        <v>230</v>
      </c>
      <c r="AE93" t="s">
        <v>283</v>
      </c>
      <c r="AF93">
        <v>3</v>
      </c>
      <c r="AG93">
        <v>6</v>
      </c>
      <c r="AH93" s="1">
        <v>43557</v>
      </c>
      <c r="AI93">
        <v>3</v>
      </c>
      <c r="AJ93">
        <v>2</v>
      </c>
    </row>
    <row r="94" spans="1:36">
      <c r="A94" t="s">
        <v>700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15</v>
      </c>
      <c r="N94" t="s">
        <v>16</v>
      </c>
      <c r="O94">
        <v>2155</v>
      </c>
      <c r="P94" t="s">
        <v>284</v>
      </c>
      <c r="Q94" t="s">
        <v>44</v>
      </c>
      <c r="R94" t="s">
        <v>31</v>
      </c>
      <c r="S94" t="s">
        <v>19</v>
      </c>
      <c r="T94" t="s">
        <v>20</v>
      </c>
      <c r="U94" t="s">
        <v>21</v>
      </c>
      <c r="V94" s="1">
        <v>41153</v>
      </c>
      <c r="X94" t="s">
        <v>22</v>
      </c>
      <c r="Y94" t="s">
        <v>23</v>
      </c>
      <c r="Z94" t="s">
        <v>24</v>
      </c>
      <c r="AA94" t="s">
        <v>72</v>
      </c>
      <c r="AB94">
        <v>12</v>
      </c>
      <c r="AC94" t="s">
        <v>56</v>
      </c>
      <c r="AD94" t="s">
        <v>39</v>
      </c>
      <c r="AE94" t="s">
        <v>57</v>
      </c>
      <c r="AF94">
        <v>5</v>
      </c>
      <c r="AG94">
        <v>0</v>
      </c>
      <c r="AH94" t="s">
        <v>246</v>
      </c>
      <c r="AI94">
        <v>0</v>
      </c>
      <c r="AJ94">
        <v>19</v>
      </c>
    </row>
    <row r="95" spans="1:36">
      <c r="A95" t="s">
        <v>701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42</v>
      </c>
      <c r="N95" t="s">
        <v>16</v>
      </c>
      <c r="O95">
        <v>2143</v>
      </c>
      <c r="P95" s="1">
        <v>29596</v>
      </c>
      <c r="Q95" t="s">
        <v>17</v>
      </c>
      <c r="R95" t="s">
        <v>18</v>
      </c>
      <c r="S95" t="s">
        <v>19</v>
      </c>
      <c r="T95" t="s">
        <v>79</v>
      </c>
      <c r="U95" t="s">
        <v>21</v>
      </c>
      <c r="V95" t="s">
        <v>194</v>
      </c>
      <c r="W95" t="s">
        <v>285</v>
      </c>
      <c r="X95" t="s">
        <v>46</v>
      </c>
      <c r="Y95" t="s">
        <v>35</v>
      </c>
      <c r="Z95" t="s">
        <v>24</v>
      </c>
      <c r="AA95" t="s">
        <v>59</v>
      </c>
      <c r="AB95">
        <v>11</v>
      </c>
      <c r="AC95" t="s">
        <v>56</v>
      </c>
      <c r="AD95" t="s">
        <v>39</v>
      </c>
      <c r="AE95" t="s">
        <v>286</v>
      </c>
      <c r="AF95">
        <v>5</v>
      </c>
      <c r="AG95">
        <v>0</v>
      </c>
      <c r="AH95" s="1">
        <v>41398</v>
      </c>
      <c r="AI95">
        <v>0</v>
      </c>
      <c r="AJ95">
        <v>20</v>
      </c>
    </row>
    <row r="96" spans="1:36">
      <c r="A96" t="s">
        <v>702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42</v>
      </c>
      <c r="N96" t="s">
        <v>16</v>
      </c>
      <c r="O96">
        <v>2170</v>
      </c>
      <c r="P96" s="1">
        <v>30539</v>
      </c>
      <c r="Q96" t="s">
        <v>44</v>
      </c>
      <c r="R96" t="s">
        <v>31</v>
      </c>
      <c r="S96" t="s">
        <v>19</v>
      </c>
      <c r="T96" t="s">
        <v>20</v>
      </c>
      <c r="U96" t="s">
        <v>21</v>
      </c>
      <c r="V96" s="1">
        <v>40637</v>
      </c>
      <c r="W96" s="1">
        <v>41518</v>
      </c>
      <c r="X96" t="s">
        <v>34</v>
      </c>
      <c r="Y96" t="s">
        <v>35</v>
      </c>
      <c r="Z96" t="s">
        <v>24</v>
      </c>
      <c r="AA96" t="s">
        <v>68</v>
      </c>
      <c r="AB96">
        <v>19</v>
      </c>
      <c r="AC96" t="s">
        <v>56</v>
      </c>
      <c r="AD96" t="s">
        <v>39</v>
      </c>
      <c r="AE96" t="s">
        <v>287</v>
      </c>
      <c r="AF96">
        <v>3</v>
      </c>
      <c r="AG96">
        <v>0</v>
      </c>
      <c r="AH96" s="1">
        <v>41091</v>
      </c>
      <c r="AI96">
        <v>0</v>
      </c>
      <c r="AJ96">
        <v>6</v>
      </c>
    </row>
    <row r="97" spans="1:36">
      <c r="A97" t="s">
        <v>703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151</v>
      </c>
      <c r="N97" t="s">
        <v>16</v>
      </c>
      <c r="O97">
        <v>2330</v>
      </c>
      <c r="P97" s="1">
        <v>27582</v>
      </c>
      <c r="Q97" t="s">
        <v>17</v>
      </c>
      <c r="R97" t="s">
        <v>31</v>
      </c>
      <c r="S97" t="s">
        <v>19</v>
      </c>
      <c r="T97" t="s">
        <v>20</v>
      </c>
      <c r="U97" t="s">
        <v>21</v>
      </c>
      <c r="V97" t="s">
        <v>146</v>
      </c>
      <c r="W97" t="s">
        <v>288</v>
      </c>
      <c r="X97" t="s">
        <v>289</v>
      </c>
      <c r="Y97" t="s">
        <v>100</v>
      </c>
      <c r="Z97" t="s">
        <v>154</v>
      </c>
      <c r="AA97" t="s">
        <v>180</v>
      </c>
      <c r="AB97">
        <v>21</v>
      </c>
      <c r="AC97" t="s">
        <v>69</v>
      </c>
      <c r="AD97" t="s">
        <v>230</v>
      </c>
      <c r="AE97" t="s">
        <v>119</v>
      </c>
      <c r="AF97">
        <v>5</v>
      </c>
      <c r="AG97">
        <v>0</v>
      </c>
      <c r="AH97" t="s">
        <v>213</v>
      </c>
      <c r="AI97">
        <v>4</v>
      </c>
      <c r="AJ97">
        <v>7</v>
      </c>
    </row>
    <row r="98" spans="1:36">
      <c r="A98" t="s">
        <v>704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290</v>
      </c>
      <c r="N98" t="s">
        <v>16</v>
      </c>
      <c r="O98">
        <v>1460</v>
      </c>
      <c r="P98" s="1">
        <v>29348</v>
      </c>
      <c r="Q98" t="s">
        <v>17</v>
      </c>
      <c r="R98" t="s">
        <v>18</v>
      </c>
      <c r="S98" t="s">
        <v>19</v>
      </c>
      <c r="T98" t="s">
        <v>20</v>
      </c>
      <c r="U98" t="s">
        <v>71</v>
      </c>
      <c r="V98" t="s">
        <v>291</v>
      </c>
      <c r="X98" t="s">
        <v>22</v>
      </c>
      <c r="Y98" t="s">
        <v>23</v>
      </c>
      <c r="Z98" t="s">
        <v>36</v>
      </c>
      <c r="AA98" t="s">
        <v>163</v>
      </c>
      <c r="AB98">
        <v>5</v>
      </c>
      <c r="AC98" t="s">
        <v>38</v>
      </c>
      <c r="AD98" t="s">
        <v>27</v>
      </c>
      <c r="AE98" t="s">
        <v>57</v>
      </c>
      <c r="AF98">
        <v>5</v>
      </c>
      <c r="AG98">
        <v>5</v>
      </c>
      <c r="AH98" s="1">
        <v>43647</v>
      </c>
      <c r="AI98">
        <v>0</v>
      </c>
      <c r="AJ98">
        <v>15</v>
      </c>
    </row>
    <row r="99" spans="1:36">
      <c r="A99" t="s">
        <v>705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129</v>
      </c>
      <c r="N99" t="s">
        <v>16</v>
      </c>
      <c r="O99">
        <v>2050</v>
      </c>
      <c r="P99" t="s">
        <v>292</v>
      </c>
      <c r="Q99" t="s">
        <v>44</v>
      </c>
      <c r="R99" t="s">
        <v>31</v>
      </c>
      <c r="S99" t="s">
        <v>19</v>
      </c>
      <c r="T99" t="s">
        <v>293</v>
      </c>
      <c r="U99" t="s">
        <v>21</v>
      </c>
      <c r="V99" s="1">
        <v>39934</v>
      </c>
      <c r="X99" t="s">
        <v>22</v>
      </c>
      <c r="Y99" t="s">
        <v>23</v>
      </c>
      <c r="Z99" t="s">
        <v>131</v>
      </c>
      <c r="AA99" t="s">
        <v>294</v>
      </c>
      <c r="AB99">
        <v>9</v>
      </c>
      <c r="AC99" t="s">
        <v>295</v>
      </c>
      <c r="AD99" t="s">
        <v>39</v>
      </c>
      <c r="AE99" t="s">
        <v>57</v>
      </c>
      <c r="AF99">
        <v>3</v>
      </c>
      <c r="AG99">
        <v>2</v>
      </c>
      <c r="AH99" s="1">
        <v>43679</v>
      </c>
      <c r="AI99">
        <v>0</v>
      </c>
      <c r="AJ99">
        <v>3</v>
      </c>
    </row>
    <row r="100" spans="1:36">
      <c r="A100" t="s">
        <v>706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151</v>
      </c>
      <c r="N100" t="s">
        <v>123</v>
      </c>
      <c r="O100">
        <v>6050</v>
      </c>
      <c r="P100" t="s">
        <v>296</v>
      </c>
      <c r="Q100" t="s">
        <v>17</v>
      </c>
      <c r="R100" t="s">
        <v>18</v>
      </c>
      <c r="S100" t="s">
        <v>19</v>
      </c>
      <c r="T100" t="s">
        <v>20</v>
      </c>
      <c r="U100" t="s">
        <v>71</v>
      </c>
      <c r="V100" s="1">
        <v>40703</v>
      </c>
      <c r="X100" t="s">
        <v>22</v>
      </c>
      <c r="Y100" t="s">
        <v>23</v>
      </c>
      <c r="Z100" t="s">
        <v>154</v>
      </c>
      <c r="AA100" t="s">
        <v>180</v>
      </c>
      <c r="AB100">
        <v>21</v>
      </c>
      <c r="AC100" t="s">
        <v>117</v>
      </c>
      <c r="AD100" t="s">
        <v>39</v>
      </c>
      <c r="AE100" t="s">
        <v>187</v>
      </c>
      <c r="AF100">
        <v>3</v>
      </c>
      <c r="AG100">
        <v>0</v>
      </c>
      <c r="AH100" t="s">
        <v>255</v>
      </c>
      <c r="AI100">
        <v>2</v>
      </c>
      <c r="AJ100">
        <v>7</v>
      </c>
    </row>
    <row r="101" spans="1:36">
      <c r="A101" t="s">
        <v>707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76</v>
      </c>
      <c r="N101" t="s">
        <v>123</v>
      </c>
      <c r="O101">
        <v>6040</v>
      </c>
      <c r="P101" s="1">
        <v>24996</v>
      </c>
      <c r="Q101" t="s">
        <v>44</v>
      </c>
      <c r="R101" t="s">
        <v>18</v>
      </c>
      <c r="S101" t="s">
        <v>19</v>
      </c>
      <c r="T101" t="s">
        <v>20</v>
      </c>
      <c r="U101" t="s">
        <v>21</v>
      </c>
      <c r="V101" s="1">
        <v>40183</v>
      </c>
      <c r="X101" t="s">
        <v>22</v>
      </c>
      <c r="Y101" t="s">
        <v>23</v>
      </c>
      <c r="Z101" t="s">
        <v>36</v>
      </c>
      <c r="AA101" t="s">
        <v>191</v>
      </c>
      <c r="AB101">
        <v>6</v>
      </c>
      <c r="AC101" t="s">
        <v>26</v>
      </c>
      <c r="AD101" t="s">
        <v>39</v>
      </c>
      <c r="AE101" t="s">
        <v>192</v>
      </c>
      <c r="AF101">
        <v>4</v>
      </c>
      <c r="AG101">
        <v>5</v>
      </c>
      <c r="AH101" s="1">
        <v>43467</v>
      </c>
      <c r="AI101">
        <v>0</v>
      </c>
      <c r="AJ101">
        <v>1</v>
      </c>
    </row>
    <row r="102" spans="1:36">
      <c r="A102" t="s">
        <v>708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15</v>
      </c>
      <c r="N102" t="s">
        <v>16</v>
      </c>
      <c r="O102">
        <v>1905</v>
      </c>
      <c r="P102" t="s">
        <v>297</v>
      </c>
      <c r="Q102" t="s">
        <v>17</v>
      </c>
      <c r="R102" t="s">
        <v>18</v>
      </c>
      <c r="S102" t="s">
        <v>19</v>
      </c>
      <c r="T102" t="s">
        <v>79</v>
      </c>
      <c r="U102" t="s">
        <v>21</v>
      </c>
      <c r="V102" t="s">
        <v>32</v>
      </c>
      <c r="X102" t="s">
        <v>22</v>
      </c>
      <c r="Y102" t="s">
        <v>23</v>
      </c>
      <c r="Z102" t="s">
        <v>24</v>
      </c>
      <c r="AA102" t="s">
        <v>81</v>
      </c>
      <c r="AB102">
        <v>14</v>
      </c>
      <c r="AC102" t="s">
        <v>69</v>
      </c>
      <c r="AD102" t="s">
        <v>39</v>
      </c>
      <c r="AE102" t="s">
        <v>109</v>
      </c>
      <c r="AF102">
        <v>3</v>
      </c>
      <c r="AG102">
        <v>0</v>
      </c>
      <c r="AH102" t="s">
        <v>78</v>
      </c>
      <c r="AI102">
        <v>0</v>
      </c>
      <c r="AJ102">
        <v>5</v>
      </c>
    </row>
    <row r="103" spans="1:36">
      <c r="A103" t="s">
        <v>709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15</v>
      </c>
      <c r="N103" t="s">
        <v>16</v>
      </c>
      <c r="O103">
        <v>2121</v>
      </c>
      <c r="P103" s="1">
        <v>30359</v>
      </c>
      <c r="Q103" t="s">
        <v>44</v>
      </c>
      <c r="R103" t="s">
        <v>18</v>
      </c>
      <c r="S103" t="s">
        <v>19</v>
      </c>
      <c r="T103" t="s">
        <v>79</v>
      </c>
      <c r="U103" t="s">
        <v>71</v>
      </c>
      <c r="V103" t="s">
        <v>194</v>
      </c>
      <c r="X103" t="s">
        <v>22</v>
      </c>
      <c r="Y103" t="s">
        <v>23</v>
      </c>
      <c r="Z103" t="s">
        <v>24</v>
      </c>
      <c r="AA103" t="s">
        <v>93</v>
      </c>
      <c r="AB103">
        <v>18</v>
      </c>
      <c r="AC103" t="s">
        <v>26</v>
      </c>
      <c r="AD103" t="s">
        <v>39</v>
      </c>
      <c r="AE103" t="s">
        <v>82</v>
      </c>
      <c r="AF103">
        <v>4</v>
      </c>
      <c r="AG103">
        <v>0</v>
      </c>
      <c r="AH103" t="s">
        <v>298</v>
      </c>
      <c r="AI103">
        <v>0</v>
      </c>
      <c r="AJ103">
        <v>12</v>
      </c>
    </row>
    <row r="104" spans="1:36">
      <c r="A104" t="s">
        <v>710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15</v>
      </c>
      <c r="N104" t="s">
        <v>16</v>
      </c>
      <c r="O104">
        <v>2145</v>
      </c>
      <c r="P104" s="1">
        <v>32883</v>
      </c>
      <c r="Q104" t="s">
        <v>44</v>
      </c>
      <c r="R104" t="s">
        <v>31</v>
      </c>
      <c r="S104" t="s">
        <v>19</v>
      </c>
      <c r="T104" t="s">
        <v>20</v>
      </c>
      <c r="U104" t="s">
        <v>71</v>
      </c>
      <c r="V104" t="s">
        <v>32</v>
      </c>
      <c r="X104" t="s">
        <v>22</v>
      </c>
      <c r="Y104" t="s">
        <v>23</v>
      </c>
      <c r="Z104" t="s">
        <v>24</v>
      </c>
      <c r="AA104" t="s">
        <v>25</v>
      </c>
      <c r="AB104">
        <v>22</v>
      </c>
      <c r="AC104" t="s">
        <v>26</v>
      </c>
      <c r="AD104" t="s">
        <v>39</v>
      </c>
      <c r="AE104" t="s">
        <v>299</v>
      </c>
      <c r="AF104">
        <v>3</v>
      </c>
      <c r="AG104">
        <v>0</v>
      </c>
      <c r="AH104" t="s">
        <v>300</v>
      </c>
      <c r="AI104">
        <v>0</v>
      </c>
      <c r="AJ104">
        <v>19</v>
      </c>
    </row>
    <row r="105" spans="1:36">
      <c r="A105" t="s">
        <v>711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15</v>
      </c>
      <c r="N105" t="s">
        <v>16</v>
      </c>
      <c r="O105">
        <v>2330</v>
      </c>
      <c r="P105" t="s">
        <v>301</v>
      </c>
      <c r="Q105" t="s">
        <v>44</v>
      </c>
      <c r="R105" t="s">
        <v>53</v>
      </c>
      <c r="S105" t="s">
        <v>19</v>
      </c>
      <c r="T105" t="s">
        <v>20</v>
      </c>
      <c r="U105" t="s">
        <v>71</v>
      </c>
      <c r="V105" s="1">
        <v>40735</v>
      </c>
      <c r="W105" t="s">
        <v>302</v>
      </c>
      <c r="X105" t="s">
        <v>46</v>
      </c>
      <c r="Y105" t="s">
        <v>35</v>
      </c>
      <c r="Z105" t="s">
        <v>24</v>
      </c>
      <c r="AA105" t="s">
        <v>51</v>
      </c>
      <c r="AB105">
        <v>16</v>
      </c>
      <c r="AC105" t="s">
        <v>73</v>
      </c>
      <c r="AD105" t="s">
        <v>39</v>
      </c>
      <c r="AE105" t="s">
        <v>303</v>
      </c>
      <c r="AF105">
        <v>4</v>
      </c>
      <c r="AG105">
        <v>0</v>
      </c>
      <c r="AH105" t="s">
        <v>304</v>
      </c>
      <c r="AI105">
        <v>0</v>
      </c>
      <c r="AJ105">
        <v>2</v>
      </c>
    </row>
    <row r="106" spans="1:36">
      <c r="A106" t="s">
        <v>712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151</v>
      </c>
      <c r="N106" t="s">
        <v>305</v>
      </c>
      <c r="O106">
        <v>43050</v>
      </c>
      <c r="P106" s="1">
        <v>26213</v>
      </c>
      <c r="Q106" t="s">
        <v>44</v>
      </c>
      <c r="R106" t="s">
        <v>66</v>
      </c>
      <c r="S106" t="s">
        <v>19</v>
      </c>
      <c r="T106" t="s">
        <v>20</v>
      </c>
      <c r="U106" t="s">
        <v>71</v>
      </c>
      <c r="V106" s="1">
        <v>41827</v>
      </c>
      <c r="W106" s="1">
        <v>42133</v>
      </c>
      <c r="X106" t="s">
        <v>99</v>
      </c>
      <c r="Y106" t="s">
        <v>100</v>
      </c>
      <c r="Z106" t="s">
        <v>154</v>
      </c>
      <c r="AA106" t="s">
        <v>155</v>
      </c>
      <c r="AB106">
        <v>17</v>
      </c>
      <c r="AC106" t="s">
        <v>117</v>
      </c>
      <c r="AD106" t="s">
        <v>39</v>
      </c>
      <c r="AE106" t="s">
        <v>306</v>
      </c>
      <c r="AF106">
        <v>4</v>
      </c>
      <c r="AG106">
        <v>0</v>
      </c>
      <c r="AH106" t="s">
        <v>307</v>
      </c>
      <c r="AI106">
        <v>0</v>
      </c>
      <c r="AJ106">
        <v>7</v>
      </c>
    </row>
    <row r="107" spans="1:36">
      <c r="A107" t="s">
        <v>713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15</v>
      </c>
      <c r="N107" t="s">
        <v>16</v>
      </c>
      <c r="O107">
        <v>2062</v>
      </c>
      <c r="P107" s="1">
        <v>27280</v>
      </c>
      <c r="Q107" t="s">
        <v>17</v>
      </c>
      <c r="R107" t="s">
        <v>31</v>
      </c>
      <c r="S107" t="s">
        <v>19</v>
      </c>
      <c r="T107" t="s">
        <v>20</v>
      </c>
      <c r="U107" t="s">
        <v>71</v>
      </c>
      <c r="V107" s="1">
        <v>40943</v>
      </c>
      <c r="W107" t="s">
        <v>308</v>
      </c>
      <c r="X107" t="s">
        <v>262</v>
      </c>
      <c r="Y107" t="s">
        <v>35</v>
      </c>
      <c r="Z107" t="s">
        <v>24</v>
      </c>
      <c r="AA107" t="s">
        <v>55</v>
      </c>
      <c r="AB107">
        <v>39</v>
      </c>
      <c r="AC107" t="s">
        <v>73</v>
      </c>
      <c r="AD107" t="s">
        <v>118</v>
      </c>
      <c r="AE107" t="s">
        <v>306</v>
      </c>
      <c r="AF107">
        <v>4</v>
      </c>
      <c r="AG107">
        <v>0</v>
      </c>
      <c r="AH107" t="s">
        <v>309</v>
      </c>
      <c r="AI107">
        <v>3</v>
      </c>
      <c r="AJ107">
        <v>15</v>
      </c>
    </row>
    <row r="108" spans="1:36">
      <c r="A108" t="s">
        <v>714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15</v>
      </c>
      <c r="N108" t="s">
        <v>16</v>
      </c>
      <c r="O108">
        <v>2451</v>
      </c>
      <c r="P108" s="1">
        <v>29438</v>
      </c>
      <c r="Q108" t="s">
        <v>44</v>
      </c>
      <c r="R108" t="s">
        <v>18</v>
      </c>
      <c r="S108" t="s">
        <v>19</v>
      </c>
      <c r="T108" t="s">
        <v>79</v>
      </c>
      <c r="U108" t="s">
        <v>91</v>
      </c>
      <c r="V108" t="s">
        <v>146</v>
      </c>
      <c r="X108" t="s">
        <v>22</v>
      </c>
      <c r="Y108" t="s">
        <v>23</v>
      </c>
      <c r="Z108" t="s">
        <v>24</v>
      </c>
      <c r="AA108" t="s">
        <v>59</v>
      </c>
      <c r="AB108">
        <v>11</v>
      </c>
      <c r="AC108" t="s">
        <v>38</v>
      </c>
      <c r="AD108" t="s">
        <v>27</v>
      </c>
      <c r="AE108" t="s">
        <v>310</v>
      </c>
      <c r="AF108">
        <v>4</v>
      </c>
      <c r="AG108">
        <v>0</v>
      </c>
      <c r="AH108" s="1">
        <v>43648</v>
      </c>
      <c r="AI108">
        <v>0</v>
      </c>
      <c r="AJ108">
        <v>3</v>
      </c>
    </row>
    <row r="109" spans="1:36">
      <c r="A109" t="s">
        <v>715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151</v>
      </c>
      <c r="N109" t="s">
        <v>311</v>
      </c>
      <c r="O109">
        <v>46204</v>
      </c>
      <c r="P109" t="s">
        <v>312</v>
      </c>
      <c r="Q109" t="s">
        <v>44</v>
      </c>
      <c r="R109" t="s">
        <v>18</v>
      </c>
      <c r="S109" t="s">
        <v>19</v>
      </c>
      <c r="T109" t="s">
        <v>20</v>
      </c>
      <c r="U109" t="s">
        <v>21</v>
      </c>
      <c r="V109" t="s">
        <v>130</v>
      </c>
      <c r="X109" t="s">
        <v>22</v>
      </c>
      <c r="Y109" t="s">
        <v>23</v>
      </c>
      <c r="Z109" t="s">
        <v>154</v>
      </c>
      <c r="AA109" t="s">
        <v>180</v>
      </c>
      <c r="AB109">
        <v>21</v>
      </c>
      <c r="AC109" t="s">
        <v>38</v>
      </c>
      <c r="AD109" t="s">
        <v>39</v>
      </c>
      <c r="AE109" t="s">
        <v>109</v>
      </c>
      <c r="AF109">
        <v>5</v>
      </c>
      <c r="AG109">
        <v>0</v>
      </c>
      <c r="AH109" t="s">
        <v>75</v>
      </c>
      <c r="AI109">
        <v>0</v>
      </c>
      <c r="AJ109">
        <v>20</v>
      </c>
    </row>
    <row r="110" spans="1:36">
      <c r="A110" t="s">
        <v>716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107</v>
      </c>
      <c r="N110" t="s">
        <v>16</v>
      </c>
      <c r="O110">
        <v>2127</v>
      </c>
      <c r="P110" t="s">
        <v>313</v>
      </c>
      <c r="Q110" t="s">
        <v>44</v>
      </c>
      <c r="R110" t="s">
        <v>18</v>
      </c>
      <c r="S110" t="s">
        <v>19</v>
      </c>
      <c r="T110" t="s">
        <v>20</v>
      </c>
      <c r="U110" t="s">
        <v>21</v>
      </c>
      <c r="V110" t="s">
        <v>130</v>
      </c>
      <c r="W110" t="s">
        <v>314</v>
      </c>
      <c r="X110" t="s">
        <v>269</v>
      </c>
      <c r="Y110" t="s">
        <v>100</v>
      </c>
      <c r="Z110" t="s">
        <v>36</v>
      </c>
      <c r="AA110" t="s">
        <v>37</v>
      </c>
      <c r="AB110">
        <v>4</v>
      </c>
      <c r="AC110" t="s">
        <v>38</v>
      </c>
      <c r="AD110" t="s">
        <v>39</v>
      </c>
      <c r="AE110" t="s">
        <v>28</v>
      </c>
      <c r="AF110">
        <v>4</v>
      </c>
      <c r="AG110">
        <v>4</v>
      </c>
      <c r="AH110" t="s">
        <v>309</v>
      </c>
      <c r="AI110">
        <v>0</v>
      </c>
      <c r="AJ110">
        <v>10</v>
      </c>
    </row>
    <row r="111" spans="1:36">
      <c r="A111" t="s">
        <v>717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76</v>
      </c>
      <c r="N111" t="s">
        <v>16</v>
      </c>
      <c r="O111">
        <v>2135</v>
      </c>
      <c r="P111" t="s">
        <v>315</v>
      </c>
      <c r="Q111" t="s">
        <v>17</v>
      </c>
      <c r="R111" t="s">
        <v>31</v>
      </c>
      <c r="S111" t="s">
        <v>19</v>
      </c>
      <c r="T111" t="s">
        <v>79</v>
      </c>
      <c r="U111" t="s">
        <v>21</v>
      </c>
      <c r="V111" t="s">
        <v>32</v>
      </c>
      <c r="X111" t="s">
        <v>22</v>
      </c>
      <c r="Y111" t="s">
        <v>23</v>
      </c>
      <c r="Z111" t="s">
        <v>36</v>
      </c>
      <c r="AA111" t="s">
        <v>77</v>
      </c>
      <c r="AB111">
        <v>7</v>
      </c>
      <c r="AC111" t="s">
        <v>26</v>
      </c>
      <c r="AD111" t="s">
        <v>39</v>
      </c>
      <c r="AE111" t="s">
        <v>187</v>
      </c>
      <c r="AF111">
        <v>5</v>
      </c>
      <c r="AG111">
        <v>7</v>
      </c>
      <c r="AH111" s="1">
        <v>43739</v>
      </c>
      <c r="AI111">
        <v>0</v>
      </c>
      <c r="AJ111">
        <v>20</v>
      </c>
    </row>
    <row r="112" spans="1:36">
      <c r="A112" t="s">
        <v>718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15</v>
      </c>
      <c r="N112" t="s">
        <v>16</v>
      </c>
      <c r="O112">
        <v>2451</v>
      </c>
      <c r="P112" t="s">
        <v>316</v>
      </c>
      <c r="Q112" t="s">
        <v>44</v>
      </c>
      <c r="R112" t="s">
        <v>18</v>
      </c>
      <c r="S112" t="s">
        <v>19</v>
      </c>
      <c r="T112" t="s">
        <v>79</v>
      </c>
      <c r="U112" t="s">
        <v>21</v>
      </c>
      <c r="V112" s="1">
        <v>41589</v>
      </c>
      <c r="X112" t="s">
        <v>22</v>
      </c>
      <c r="Y112" t="s">
        <v>23</v>
      </c>
      <c r="Z112" t="s">
        <v>24</v>
      </c>
      <c r="AA112" t="s">
        <v>68</v>
      </c>
      <c r="AB112">
        <v>19</v>
      </c>
      <c r="AC112" t="s">
        <v>38</v>
      </c>
      <c r="AD112" t="s">
        <v>39</v>
      </c>
      <c r="AE112" t="s">
        <v>187</v>
      </c>
      <c r="AF112">
        <v>5</v>
      </c>
      <c r="AG112">
        <v>0</v>
      </c>
      <c r="AH112" t="s">
        <v>78</v>
      </c>
      <c r="AI112">
        <v>0</v>
      </c>
      <c r="AJ112">
        <v>7</v>
      </c>
    </row>
    <row r="113" spans="1:36">
      <c r="A113" t="s">
        <v>719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15</v>
      </c>
      <c r="N113" t="s">
        <v>16</v>
      </c>
      <c r="O113">
        <v>2108</v>
      </c>
      <c r="P113" t="s">
        <v>317</v>
      </c>
      <c r="Q113" t="s">
        <v>17</v>
      </c>
      <c r="R113" t="s">
        <v>53</v>
      </c>
      <c r="S113" t="s">
        <v>19</v>
      </c>
      <c r="T113" t="s">
        <v>20</v>
      </c>
      <c r="U113" t="s">
        <v>71</v>
      </c>
      <c r="V113" s="1">
        <v>40854</v>
      </c>
      <c r="X113" t="s">
        <v>22</v>
      </c>
      <c r="Y113" t="s">
        <v>23</v>
      </c>
      <c r="Z113" t="s">
        <v>24</v>
      </c>
      <c r="AA113" t="s">
        <v>72</v>
      </c>
      <c r="AB113">
        <v>12</v>
      </c>
      <c r="AC113" t="s">
        <v>73</v>
      </c>
      <c r="AD113" t="s">
        <v>27</v>
      </c>
      <c r="AE113" t="s">
        <v>109</v>
      </c>
      <c r="AF113">
        <v>4</v>
      </c>
      <c r="AG113">
        <v>0</v>
      </c>
      <c r="AH113" t="s">
        <v>78</v>
      </c>
      <c r="AI113">
        <v>0</v>
      </c>
      <c r="AJ113">
        <v>1</v>
      </c>
    </row>
    <row r="114" spans="1:36">
      <c r="A114" t="s">
        <v>720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42</v>
      </c>
      <c r="N114" t="s">
        <v>16</v>
      </c>
      <c r="O114">
        <v>2128</v>
      </c>
      <c r="P114" s="1">
        <v>23721</v>
      </c>
      <c r="Q114" t="s">
        <v>17</v>
      </c>
      <c r="R114" t="s">
        <v>31</v>
      </c>
      <c r="S114" t="s">
        <v>19</v>
      </c>
      <c r="T114" t="s">
        <v>20</v>
      </c>
      <c r="U114" t="s">
        <v>71</v>
      </c>
      <c r="V114" t="s">
        <v>260</v>
      </c>
      <c r="W114" t="s">
        <v>318</v>
      </c>
      <c r="X114" t="s">
        <v>34</v>
      </c>
      <c r="Y114" t="s">
        <v>35</v>
      </c>
      <c r="Z114" t="s">
        <v>24</v>
      </c>
      <c r="AA114" t="s">
        <v>72</v>
      </c>
      <c r="AB114">
        <v>12</v>
      </c>
      <c r="AC114" t="s">
        <v>73</v>
      </c>
      <c r="AD114" t="s">
        <v>230</v>
      </c>
      <c r="AE114" t="s">
        <v>181</v>
      </c>
      <c r="AF114">
        <v>3</v>
      </c>
      <c r="AG114">
        <v>0</v>
      </c>
      <c r="AH114" s="1">
        <v>40697</v>
      </c>
      <c r="AI114">
        <v>3</v>
      </c>
      <c r="AJ114">
        <v>10</v>
      </c>
    </row>
    <row r="115" spans="1:36">
      <c r="A115" t="s">
        <v>721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76</v>
      </c>
      <c r="N115" t="s">
        <v>16</v>
      </c>
      <c r="O115">
        <v>2472</v>
      </c>
      <c r="P115" t="s">
        <v>319</v>
      </c>
      <c r="Q115" t="s">
        <v>44</v>
      </c>
      <c r="R115" t="s">
        <v>149</v>
      </c>
      <c r="S115" t="s">
        <v>19</v>
      </c>
      <c r="T115" t="s">
        <v>79</v>
      </c>
      <c r="U115" t="s">
        <v>21</v>
      </c>
      <c r="V115" s="1">
        <v>42125</v>
      </c>
      <c r="X115" t="s">
        <v>22</v>
      </c>
      <c r="Y115" t="s">
        <v>23</v>
      </c>
      <c r="Z115" t="s">
        <v>36</v>
      </c>
      <c r="AA115" t="s">
        <v>77</v>
      </c>
      <c r="AB115">
        <v>7</v>
      </c>
      <c r="AC115" t="s">
        <v>69</v>
      </c>
      <c r="AD115" t="s">
        <v>39</v>
      </c>
      <c r="AE115" t="s">
        <v>320</v>
      </c>
      <c r="AF115">
        <v>4</v>
      </c>
      <c r="AG115">
        <v>5</v>
      </c>
      <c r="AH115" t="s">
        <v>213</v>
      </c>
      <c r="AI115">
        <v>0</v>
      </c>
      <c r="AJ115">
        <v>11</v>
      </c>
    </row>
    <row r="116" spans="1:36">
      <c r="A116" t="s">
        <v>722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42</v>
      </c>
      <c r="N116" t="s">
        <v>16</v>
      </c>
      <c r="O116">
        <v>1886</v>
      </c>
      <c r="P116" t="s">
        <v>321</v>
      </c>
      <c r="Q116" t="s">
        <v>44</v>
      </c>
      <c r="R116" t="s">
        <v>31</v>
      </c>
      <c r="S116" t="s">
        <v>19</v>
      </c>
      <c r="T116" t="s">
        <v>20</v>
      </c>
      <c r="U116" t="s">
        <v>21</v>
      </c>
      <c r="V116" s="1">
        <v>41978</v>
      </c>
      <c r="X116" t="s">
        <v>22</v>
      </c>
      <c r="Y116" t="s">
        <v>23</v>
      </c>
      <c r="Z116" t="s">
        <v>24</v>
      </c>
      <c r="AA116" t="s">
        <v>81</v>
      </c>
      <c r="AB116">
        <v>14</v>
      </c>
      <c r="AC116" t="s">
        <v>26</v>
      </c>
      <c r="AD116" t="s">
        <v>39</v>
      </c>
      <c r="AE116" t="s">
        <v>28</v>
      </c>
      <c r="AF116">
        <v>3</v>
      </c>
      <c r="AG116">
        <v>0</v>
      </c>
      <c r="AH116" s="1">
        <v>43648</v>
      </c>
      <c r="AI116">
        <v>0</v>
      </c>
      <c r="AJ116">
        <v>20</v>
      </c>
    </row>
    <row r="117" spans="1:36">
      <c r="A117" t="s">
        <v>723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15</v>
      </c>
      <c r="N117" t="s">
        <v>16</v>
      </c>
      <c r="O117">
        <v>2169</v>
      </c>
      <c r="P117" t="s">
        <v>322</v>
      </c>
      <c r="Q117" t="s">
        <v>17</v>
      </c>
      <c r="R117" t="s">
        <v>31</v>
      </c>
      <c r="S117" t="s">
        <v>19</v>
      </c>
      <c r="T117" t="s">
        <v>20</v>
      </c>
      <c r="U117" t="s">
        <v>21</v>
      </c>
      <c r="V117" s="1">
        <v>40946</v>
      </c>
      <c r="X117" t="s">
        <v>22</v>
      </c>
      <c r="Y117" t="s">
        <v>23</v>
      </c>
      <c r="Z117" t="s">
        <v>24</v>
      </c>
      <c r="AA117" t="s">
        <v>81</v>
      </c>
      <c r="AB117">
        <v>14</v>
      </c>
      <c r="AC117" t="s">
        <v>26</v>
      </c>
      <c r="AD117" t="s">
        <v>39</v>
      </c>
      <c r="AE117" t="s">
        <v>57</v>
      </c>
      <c r="AF117">
        <v>3</v>
      </c>
      <c r="AG117">
        <v>0</v>
      </c>
      <c r="AH117" t="s">
        <v>104</v>
      </c>
      <c r="AI117">
        <v>0</v>
      </c>
      <c r="AJ117">
        <v>2</v>
      </c>
    </row>
    <row r="118" spans="1:36">
      <c r="A118" t="s">
        <v>724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42</v>
      </c>
      <c r="N118" t="s">
        <v>16</v>
      </c>
      <c r="O118">
        <v>1824</v>
      </c>
      <c r="P118" s="1">
        <v>30540</v>
      </c>
      <c r="Q118" t="s">
        <v>44</v>
      </c>
      <c r="R118" t="s">
        <v>149</v>
      </c>
      <c r="S118" t="s">
        <v>19</v>
      </c>
      <c r="T118" t="s">
        <v>20</v>
      </c>
      <c r="U118" t="s">
        <v>323</v>
      </c>
      <c r="V118" t="s">
        <v>67</v>
      </c>
      <c r="X118" t="s">
        <v>22</v>
      </c>
      <c r="Y118" t="s">
        <v>23</v>
      </c>
      <c r="Z118" t="s">
        <v>24</v>
      </c>
      <c r="AA118" t="s">
        <v>47</v>
      </c>
      <c r="AB118">
        <v>20</v>
      </c>
      <c r="AC118" t="s">
        <v>56</v>
      </c>
      <c r="AD118" t="s">
        <v>39</v>
      </c>
      <c r="AE118" t="s">
        <v>103</v>
      </c>
      <c r="AF118">
        <v>5</v>
      </c>
      <c r="AG118">
        <v>0</v>
      </c>
      <c r="AH118" t="s">
        <v>158</v>
      </c>
      <c r="AI118">
        <v>0</v>
      </c>
      <c r="AJ118">
        <v>1</v>
      </c>
    </row>
    <row r="119" spans="1:36">
      <c r="A119" t="s">
        <v>725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15</v>
      </c>
      <c r="N119" t="s">
        <v>16</v>
      </c>
      <c r="O119">
        <v>1864</v>
      </c>
      <c r="P119" s="1">
        <v>27282</v>
      </c>
      <c r="Q119" t="s">
        <v>44</v>
      </c>
      <c r="R119" t="s">
        <v>31</v>
      </c>
      <c r="S119" t="s">
        <v>19</v>
      </c>
      <c r="T119" t="s">
        <v>20</v>
      </c>
      <c r="U119" t="s">
        <v>111</v>
      </c>
      <c r="V119" t="s">
        <v>114</v>
      </c>
      <c r="X119" t="s">
        <v>22</v>
      </c>
      <c r="Y119" t="s">
        <v>23</v>
      </c>
      <c r="Z119" t="s">
        <v>24</v>
      </c>
      <c r="AA119" t="s">
        <v>47</v>
      </c>
      <c r="AB119">
        <v>20</v>
      </c>
      <c r="AC119" t="s">
        <v>26</v>
      </c>
      <c r="AD119" t="s">
        <v>39</v>
      </c>
      <c r="AE119" t="s">
        <v>199</v>
      </c>
      <c r="AF119">
        <v>5</v>
      </c>
      <c r="AG119">
        <v>0</v>
      </c>
      <c r="AH119" t="s">
        <v>324</v>
      </c>
      <c r="AI119">
        <v>0</v>
      </c>
      <c r="AJ119">
        <v>3</v>
      </c>
    </row>
    <row r="120" spans="1:36">
      <c r="A120" t="s">
        <v>726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133</v>
      </c>
      <c r="N120" t="s">
        <v>16</v>
      </c>
      <c r="O120">
        <v>1752</v>
      </c>
      <c r="P120" s="1">
        <v>29897</v>
      </c>
      <c r="Q120" t="s">
        <v>17</v>
      </c>
      <c r="R120" t="s">
        <v>53</v>
      </c>
      <c r="S120" t="s">
        <v>19</v>
      </c>
      <c r="T120" t="s">
        <v>20</v>
      </c>
      <c r="U120" t="s">
        <v>21</v>
      </c>
      <c r="V120" s="1">
        <v>42041</v>
      </c>
      <c r="X120" t="s">
        <v>22</v>
      </c>
      <c r="Y120" t="s">
        <v>23</v>
      </c>
      <c r="Z120" t="s">
        <v>24</v>
      </c>
      <c r="AA120" t="s">
        <v>135</v>
      </c>
      <c r="AB120">
        <v>2</v>
      </c>
      <c r="AC120" t="s">
        <v>69</v>
      </c>
      <c r="AD120" t="s">
        <v>39</v>
      </c>
      <c r="AE120" t="s">
        <v>325</v>
      </c>
      <c r="AF120">
        <v>3</v>
      </c>
      <c r="AG120">
        <v>0</v>
      </c>
      <c r="AH120" s="1">
        <v>43556</v>
      </c>
      <c r="AI120">
        <v>0</v>
      </c>
      <c r="AJ120">
        <v>2</v>
      </c>
    </row>
    <row r="121" spans="1:36">
      <c r="A121" t="s">
        <v>727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15</v>
      </c>
      <c r="N121" t="s">
        <v>16</v>
      </c>
      <c r="O121">
        <v>2176</v>
      </c>
      <c r="P121" t="s">
        <v>326</v>
      </c>
      <c r="Q121" t="s">
        <v>44</v>
      </c>
      <c r="R121" t="s">
        <v>53</v>
      </c>
      <c r="S121" t="s">
        <v>19</v>
      </c>
      <c r="T121" t="s">
        <v>20</v>
      </c>
      <c r="U121" t="s">
        <v>21</v>
      </c>
      <c r="V121" t="s">
        <v>98</v>
      </c>
      <c r="W121" s="1">
        <v>41944</v>
      </c>
      <c r="X121" t="s">
        <v>233</v>
      </c>
      <c r="Y121" t="s">
        <v>35</v>
      </c>
      <c r="Z121" t="s">
        <v>24</v>
      </c>
      <c r="AA121" t="s">
        <v>93</v>
      </c>
      <c r="AB121">
        <v>18</v>
      </c>
      <c r="AC121" t="s">
        <v>117</v>
      </c>
      <c r="AD121" t="s">
        <v>39</v>
      </c>
      <c r="AE121" t="s">
        <v>57</v>
      </c>
      <c r="AF121">
        <v>5</v>
      </c>
      <c r="AG121">
        <v>0</v>
      </c>
      <c r="AH121" s="1">
        <v>41339</v>
      </c>
      <c r="AI121">
        <v>0</v>
      </c>
      <c r="AJ121">
        <v>17</v>
      </c>
    </row>
    <row r="122" spans="1:36">
      <c r="A122" t="s">
        <v>728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236</v>
      </c>
      <c r="N122" t="s">
        <v>16</v>
      </c>
      <c r="O122">
        <v>2134</v>
      </c>
      <c r="P122" t="s">
        <v>327</v>
      </c>
      <c r="Q122" t="s">
        <v>17</v>
      </c>
      <c r="R122" t="s">
        <v>31</v>
      </c>
      <c r="S122" t="s">
        <v>19</v>
      </c>
      <c r="T122" t="s">
        <v>20</v>
      </c>
      <c r="U122" t="s">
        <v>71</v>
      </c>
      <c r="V122" t="s">
        <v>328</v>
      </c>
      <c r="X122" t="s">
        <v>22</v>
      </c>
      <c r="Y122" t="s">
        <v>23</v>
      </c>
      <c r="Z122" t="s">
        <v>36</v>
      </c>
      <c r="AA122" t="s">
        <v>238</v>
      </c>
      <c r="AB122">
        <v>13</v>
      </c>
      <c r="AC122" t="s">
        <v>38</v>
      </c>
      <c r="AD122" t="s">
        <v>39</v>
      </c>
      <c r="AE122" t="s">
        <v>82</v>
      </c>
      <c r="AF122">
        <v>5</v>
      </c>
      <c r="AG122">
        <v>5</v>
      </c>
      <c r="AH122" t="s">
        <v>213</v>
      </c>
      <c r="AI122">
        <v>0</v>
      </c>
      <c r="AJ122">
        <v>8</v>
      </c>
    </row>
    <row r="123" spans="1:36">
      <c r="A123" t="s">
        <v>729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151</v>
      </c>
      <c r="N123" t="s">
        <v>329</v>
      </c>
      <c r="O123">
        <v>37129</v>
      </c>
      <c r="P123" s="1">
        <v>25448</v>
      </c>
      <c r="Q123" t="s">
        <v>17</v>
      </c>
      <c r="R123" t="s">
        <v>18</v>
      </c>
      <c r="S123" t="s">
        <v>19</v>
      </c>
      <c r="T123" t="s">
        <v>20</v>
      </c>
      <c r="U123" t="s">
        <v>91</v>
      </c>
      <c r="V123" s="1">
        <v>41093</v>
      </c>
      <c r="W123" t="s">
        <v>330</v>
      </c>
      <c r="X123" t="s">
        <v>186</v>
      </c>
      <c r="Y123" t="s">
        <v>35</v>
      </c>
      <c r="Z123" t="s">
        <v>154</v>
      </c>
      <c r="AA123" t="s">
        <v>155</v>
      </c>
      <c r="AB123">
        <v>17</v>
      </c>
      <c r="AC123" t="s">
        <v>26</v>
      </c>
      <c r="AD123" t="s">
        <v>39</v>
      </c>
      <c r="AE123" t="s">
        <v>109</v>
      </c>
      <c r="AF123">
        <v>5</v>
      </c>
      <c r="AG123">
        <v>0</v>
      </c>
      <c r="AH123" s="1">
        <v>41276</v>
      </c>
      <c r="AI123">
        <v>0</v>
      </c>
      <c r="AJ123">
        <v>20</v>
      </c>
    </row>
    <row r="124" spans="1:36">
      <c r="A124" t="s">
        <v>730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15</v>
      </c>
      <c r="N124" t="s">
        <v>16</v>
      </c>
      <c r="O124">
        <v>2127</v>
      </c>
      <c r="P124" t="s">
        <v>331</v>
      </c>
      <c r="Q124" t="s">
        <v>44</v>
      </c>
      <c r="R124" t="s">
        <v>31</v>
      </c>
      <c r="S124" t="s">
        <v>19</v>
      </c>
      <c r="T124" t="s">
        <v>20</v>
      </c>
      <c r="U124" t="s">
        <v>21</v>
      </c>
      <c r="V124" t="s">
        <v>332</v>
      </c>
      <c r="X124" t="s">
        <v>22</v>
      </c>
      <c r="Y124" t="s">
        <v>23</v>
      </c>
      <c r="Z124" t="s">
        <v>24</v>
      </c>
      <c r="AA124" t="s">
        <v>25</v>
      </c>
      <c r="AB124">
        <v>22</v>
      </c>
      <c r="AC124" t="s">
        <v>56</v>
      </c>
      <c r="AD124" t="s">
        <v>39</v>
      </c>
      <c r="AE124" t="s">
        <v>82</v>
      </c>
      <c r="AF124">
        <v>4</v>
      </c>
      <c r="AG124">
        <v>0</v>
      </c>
      <c r="AH124" t="s">
        <v>166</v>
      </c>
      <c r="AI124">
        <v>0</v>
      </c>
      <c r="AJ124">
        <v>13</v>
      </c>
    </row>
    <row r="125" spans="1:36">
      <c r="A125" t="s">
        <v>731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42</v>
      </c>
      <c r="N125" t="s">
        <v>16</v>
      </c>
      <c r="O125">
        <v>2155</v>
      </c>
      <c r="P125" s="1">
        <v>32424</v>
      </c>
      <c r="Q125" t="s">
        <v>17</v>
      </c>
      <c r="R125" t="s">
        <v>18</v>
      </c>
      <c r="S125" t="s">
        <v>19</v>
      </c>
      <c r="T125" t="s">
        <v>79</v>
      </c>
      <c r="U125" t="s">
        <v>21</v>
      </c>
      <c r="V125" s="1">
        <v>41589</v>
      </c>
      <c r="X125" t="s">
        <v>22</v>
      </c>
      <c r="Y125" t="s">
        <v>23</v>
      </c>
      <c r="Z125" t="s">
        <v>24</v>
      </c>
      <c r="AA125" t="s">
        <v>93</v>
      </c>
      <c r="AB125">
        <v>18</v>
      </c>
      <c r="AC125" t="s">
        <v>26</v>
      </c>
      <c r="AD125" t="s">
        <v>39</v>
      </c>
      <c r="AE125" t="s">
        <v>57</v>
      </c>
      <c r="AF125">
        <v>3</v>
      </c>
      <c r="AG125">
        <v>0</v>
      </c>
      <c r="AH125" s="1">
        <v>43678</v>
      </c>
      <c r="AI125">
        <v>0</v>
      </c>
      <c r="AJ125">
        <v>20</v>
      </c>
    </row>
    <row r="126" spans="1:36">
      <c r="A126" t="s">
        <v>732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15</v>
      </c>
      <c r="N126" t="s">
        <v>16</v>
      </c>
      <c r="O126">
        <v>2324</v>
      </c>
      <c r="P126" t="s">
        <v>333</v>
      </c>
      <c r="Q126" t="s">
        <v>44</v>
      </c>
      <c r="R126" t="s">
        <v>18</v>
      </c>
      <c r="S126" t="s">
        <v>19</v>
      </c>
      <c r="T126" t="s">
        <v>20</v>
      </c>
      <c r="U126" t="s">
        <v>21</v>
      </c>
      <c r="V126" s="1">
        <v>41153</v>
      </c>
      <c r="W126" t="s">
        <v>334</v>
      </c>
      <c r="X126" t="s">
        <v>134</v>
      </c>
      <c r="Y126" t="s">
        <v>35</v>
      </c>
      <c r="Z126" t="s">
        <v>24</v>
      </c>
      <c r="AA126" t="s">
        <v>55</v>
      </c>
      <c r="AB126">
        <v>39</v>
      </c>
      <c r="AC126" t="s">
        <v>117</v>
      </c>
      <c r="AD126" t="s">
        <v>39</v>
      </c>
      <c r="AE126" t="s">
        <v>335</v>
      </c>
      <c r="AF126">
        <v>4</v>
      </c>
      <c r="AG126">
        <v>0</v>
      </c>
      <c r="AH126" s="1">
        <v>42040</v>
      </c>
      <c r="AI126">
        <v>0</v>
      </c>
      <c r="AJ126">
        <v>8</v>
      </c>
    </row>
    <row r="127" spans="1:36">
      <c r="A127" t="s">
        <v>733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15</v>
      </c>
      <c r="N127" t="s">
        <v>16</v>
      </c>
      <c r="O127">
        <v>1886</v>
      </c>
      <c r="P127" s="1">
        <v>27065</v>
      </c>
      <c r="Q127" t="s">
        <v>44</v>
      </c>
      <c r="R127" t="s">
        <v>31</v>
      </c>
      <c r="S127" t="s">
        <v>19</v>
      </c>
      <c r="T127" t="s">
        <v>20</v>
      </c>
      <c r="U127" t="s">
        <v>21</v>
      </c>
      <c r="V127" s="1">
        <v>41978</v>
      </c>
      <c r="X127" t="s">
        <v>22</v>
      </c>
      <c r="Y127" t="s">
        <v>23</v>
      </c>
      <c r="Z127" t="s">
        <v>24</v>
      </c>
      <c r="AA127" t="s">
        <v>59</v>
      </c>
      <c r="AB127">
        <v>11</v>
      </c>
      <c r="AC127" t="s">
        <v>117</v>
      </c>
      <c r="AD127" t="s">
        <v>27</v>
      </c>
      <c r="AE127" t="s">
        <v>286</v>
      </c>
      <c r="AF127">
        <v>4</v>
      </c>
      <c r="AG127">
        <v>0</v>
      </c>
      <c r="AH127" t="s">
        <v>324</v>
      </c>
      <c r="AI127">
        <v>0</v>
      </c>
      <c r="AJ127">
        <v>5</v>
      </c>
    </row>
    <row r="128" spans="1:36">
      <c r="A128" t="s">
        <v>734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15</v>
      </c>
      <c r="N128" t="s">
        <v>16</v>
      </c>
      <c r="O128">
        <v>2149</v>
      </c>
      <c r="P128" s="1">
        <v>30773</v>
      </c>
      <c r="Q128" t="s">
        <v>17</v>
      </c>
      <c r="R128" t="s">
        <v>18</v>
      </c>
      <c r="S128" t="s">
        <v>19</v>
      </c>
      <c r="T128" t="s">
        <v>20</v>
      </c>
      <c r="U128" t="s">
        <v>21</v>
      </c>
      <c r="V128" t="s">
        <v>336</v>
      </c>
      <c r="X128" t="s">
        <v>22</v>
      </c>
      <c r="Y128" t="s">
        <v>23</v>
      </c>
      <c r="Z128" t="s">
        <v>24</v>
      </c>
      <c r="AA128" t="s">
        <v>68</v>
      </c>
      <c r="AB128">
        <v>19</v>
      </c>
      <c r="AC128" t="s">
        <v>56</v>
      </c>
      <c r="AD128" t="s">
        <v>39</v>
      </c>
      <c r="AE128" t="s">
        <v>337</v>
      </c>
      <c r="AF128">
        <v>4</v>
      </c>
      <c r="AG128">
        <v>0</v>
      </c>
      <c r="AH128" s="1">
        <v>43771</v>
      </c>
      <c r="AI128">
        <v>0</v>
      </c>
      <c r="AJ128">
        <v>1</v>
      </c>
    </row>
    <row r="129" spans="1:36">
      <c r="A129" t="s">
        <v>735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42</v>
      </c>
      <c r="N129" t="s">
        <v>16</v>
      </c>
      <c r="O129">
        <v>2021</v>
      </c>
      <c r="P129" t="s">
        <v>338</v>
      </c>
      <c r="Q129" t="s">
        <v>44</v>
      </c>
      <c r="R129" t="s">
        <v>18</v>
      </c>
      <c r="S129" t="s">
        <v>19</v>
      </c>
      <c r="T129" t="s">
        <v>20</v>
      </c>
      <c r="U129" t="s">
        <v>21</v>
      </c>
      <c r="V129" s="1">
        <v>40817</v>
      </c>
      <c r="W129" t="s">
        <v>339</v>
      </c>
      <c r="X129" t="s">
        <v>46</v>
      </c>
      <c r="Y129" t="s">
        <v>35</v>
      </c>
      <c r="Z129" t="s">
        <v>24</v>
      </c>
      <c r="AA129" t="s">
        <v>93</v>
      </c>
      <c r="AB129">
        <v>18</v>
      </c>
      <c r="AC129" t="s">
        <v>117</v>
      </c>
      <c r="AD129" t="s">
        <v>39</v>
      </c>
      <c r="AE129" t="s">
        <v>57</v>
      </c>
      <c r="AF129">
        <v>3</v>
      </c>
      <c r="AG129">
        <v>0</v>
      </c>
      <c r="AH129" t="s">
        <v>340</v>
      </c>
      <c r="AI129">
        <v>0</v>
      </c>
      <c r="AJ129">
        <v>15</v>
      </c>
    </row>
    <row r="130" spans="1:36">
      <c r="A130" t="s">
        <v>736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151</v>
      </c>
      <c r="N130" t="s">
        <v>341</v>
      </c>
      <c r="O130">
        <v>3062</v>
      </c>
      <c r="P130" t="s">
        <v>342</v>
      </c>
      <c r="Q130" t="s">
        <v>17</v>
      </c>
      <c r="R130" t="s">
        <v>31</v>
      </c>
      <c r="S130" t="s">
        <v>19</v>
      </c>
      <c r="T130" t="s">
        <v>20</v>
      </c>
      <c r="U130" t="s">
        <v>323</v>
      </c>
      <c r="V130" t="s">
        <v>173</v>
      </c>
      <c r="X130" t="s">
        <v>22</v>
      </c>
      <c r="Y130" t="s">
        <v>23</v>
      </c>
      <c r="Z130" t="s">
        <v>154</v>
      </c>
      <c r="AA130" t="s">
        <v>155</v>
      </c>
      <c r="AB130">
        <v>17</v>
      </c>
      <c r="AC130" t="s">
        <v>38</v>
      </c>
      <c r="AD130" t="s">
        <v>39</v>
      </c>
      <c r="AE130" t="s">
        <v>343</v>
      </c>
      <c r="AF130">
        <v>5</v>
      </c>
      <c r="AG130">
        <v>0</v>
      </c>
      <c r="AH130" t="s">
        <v>167</v>
      </c>
      <c r="AI130">
        <v>0</v>
      </c>
      <c r="AJ130">
        <v>9</v>
      </c>
    </row>
    <row r="131" spans="1:36">
      <c r="A131" t="s">
        <v>737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42</v>
      </c>
      <c r="N131" t="s">
        <v>16</v>
      </c>
      <c r="O131">
        <v>2445</v>
      </c>
      <c r="P131" t="s">
        <v>344</v>
      </c>
      <c r="Q131" t="s">
        <v>44</v>
      </c>
      <c r="R131" t="s">
        <v>31</v>
      </c>
      <c r="S131" t="s">
        <v>189</v>
      </c>
      <c r="T131" t="s">
        <v>20</v>
      </c>
      <c r="U131" t="s">
        <v>21</v>
      </c>
      <c r="V131" t="s">
        <v>153</v>
      </c>
      <c r="W131" s="1">
        <v>41094</v>
      </c>
      <c r="X131" t="s">
        <v>186</v>
      </c>
      <c r="Y131" t="s">
        <v>35</v>
      </c>
      <c r="Z131" t="s">
        <v>24</v>
      </c>
      <c r="AA131" t="s">
        <v>25</v>
      </c>
      <c r="AB131">
        <v>30</v>
      </c>
      <c r="AC131" t="s">
        <v>38</v>
      </c>
      <c r="AD131" t="s">
        <v>39</v>
      </c>
      <c r="AE131" t="s">
        <v>345</v>
      </c>
      <c r="AF131">
        <v>5</v>
      </c>
      <c r="AG131">
        <v>0</v>
      </c>
      <c r="AH131" s="1">
        <v>41032</v>
      </c>
      <c r="AI131">
        <v>0</v>
      </c>
      <c r="AJ131">
        <v>16</v>
      </c>
    </row>
    <row r="132" spans="1:36">
      <c r="A132" t="s">
        <v>738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107</v>
      </c>
      <c r="N132" t="s">
        <v>16</v>
      </c>
      <c r="O132">
        <v>2493</v>
      </c>
      <c r="P132" t="s">
        <v>346</v>
      </c>
      <c r="Q132" t="s">
        <v>44</v>
      </c>
      <c r="R132" t="s">
        <v>18</v>
      </c>
      <c r="S132" t="s">
        <v>19</v>
      </c>
      <c r="T132" t="s">
        <v>20</v>
      </c>
      <c r="U132" t="s">
        <v>21</v>
      </c>
      <c r="V132" t="s">
        <v>32</v>
      </c>
      <c r="X132" t="s">
        <v>22</v>
      </c>
      <c r="Y132" t="s">
        <v>23</v>
      </c>
      <c r="Z132" t="s">
        <v>36</v>
      </c>
      <c r="AA132" t="s">
        <v>37</v>
      </c>
      <c r="AB132">
        <v>4</v>
      </c>
      <c r="AC132" t="s">
        <v>38</v>
      </c>
      <c r="AD132" t="s">
        <v>39</v>
      </c>
      <c r="AE132" t="s">
        <v>347</v>
      </c>
      <c r="AF132">
        <v>5</v>
      </c>
      <c r="AG132">
        <v>6</v>
      </c>
      <c r="AH132" s="1">
        <v>43525</v>
      </c>
      <c r="AI132">
        <v>0</v>
      </c>
      <c r="AJ132">
        <v>4</v>
      </c>
    </row>
    <row r="133" spans="1:36">
      <c r="A133" t="s">
        <v>739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348</v>
      </c>
      <c r="N133" t="s">
        <v>349</v>
      </c>
      <c r="O133">
        <v>2908</v>
      </c>
      <c r="P133" t="s">
        <v>350</v>
      </c>
      <c r="Q133" t="s">
        <v>44</v>
      </c>
      <c r="R133" t="s">
        <v>31</v>
      </c>
      <c r="S133" t="s">
        <v>19</v>
      </c>
      <c r="T133" t="s">
        <v>20</v>
      </c>
      <c r="U133" t="s">
        <v>21</v>
      </c>
      <c r="V133" s="1">
        <v>41764</v>
      </c>
      <c r="X133" t="s">
        <v>22</v>
      </c>
      <c r="Y133" t="s">
        <v>23</v>
      </c>
      <c r="Z133" t="s">
        <v>154</v>
      </c>
      <c r="AA133" t="s">
        <v>135</v>
      </c>
      <c r="AB133">
        <v>2</v>
      </c>
      <c r="AC133" t="s">
        <v>26</v>
      </c>
      <c r="AD133" t="s">
        <v>39</v>
      </c>
      <c r="AE133" t="s">
        <v>109</v>
      </c>
      <c r="AF133">
        <v>4</v>
      </c>
      <c r="AG133">
        <v>0</v>
      </c>
      <c r="AH133" t="s">
        <v>150</v>
      </c>
      <c r="AI133">
        <v>0</v>
      </c>
      <c r="AJ133">
        <v>19</v>
      </c>
    </row>
    <row r="134" spans="1:36">
      <c r="A134" t="s">
        <v>740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351</v>
      </c>
      <c r="N134" t="s">
        <v>16</v>
      </c>
      <c r="O134">
        <v>2170</v>
      </c>
      <c r="P134" t="s">
        <v>352</v>
      </c>
      <c r="Q134" t="s">
        <v>44</v>
      </c>
      <c r="R134" t="s">
        <v>31</v>
      </c>
      <c r="S134" t="s">
        <v>19</v>
      </c>
      <c r="T134" t="s">
        <v>20</v>
      </c>
      <c r="U134" t="s">
        <v>71</v>
      </c>
      <c r="V134" t="s">
        <v>130</v>
      </c>
      <c r="W134" t="s">
        <v>353</v>
      </c>
      <c r="X134" t="s">
        <v>269</v>
      </c>
      <c r="Y134" t="s">
        <v>100</v>
      </c>
      <c r="Z134" t="s">
        <v>131</v>
      </c>
      <c r="AA134" t="s">
        <v>132</v>
      </c>
      <c r="AB134">
        <v>1</v>
      </c>
      <c r="AC134" t="s">
        <v>38</v>
      </c>
      <c r="AD134" t="s">
        <v>39</v>
      </c>
      <c r="AE134" t="s">
        <v>354</v>
      </c>
      <c r="AF134">
        <v>3</v>
      </c>
      <c r="AG134">
        <v>4</v>
      </c>
      <c r="AH134" t="s">
        <v>353</v>
      </c>
      <c r="AI134">
        <v>0</v>
      </c>
      <c r="AJ134">
        <v>6</v>
      </c>
    </row>
    <row r="135" spans="1:36">
      <c r="A135" t="s">
        <v>741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15</v>
      </c>
      <c r="N135" t="s">
        <v>16</v>
      </c>
      <c r="O135">
        <v>2176</v>
      </c>
      <c r="P135" s="1">
        <v>31691</v>
      </c>
      <c r="Q135" t="s">
        <v>44</v>
      </c>
      <c r="R135" t="s">
        <v>18</v>
      </c>
      <c r="S135" t="s">
        <v>19</v>
      </c>
      <c r="T135" t="s">
        <v>20</v>
      </c>
      <c r="U135" t="s">
        <v>21</v>
      </c>
      <c r="V135" t="s">
        <v>92</v>
      </c>
      <c r="X135" t="s">
        <v>22</v>
      </c>
      <c r="Y135" t="s">
        <v>23</v>
      </c>
      <c r="Z135" t="s">
        <v>24</v>
      </c>
      <c r="AA135" t="s">
        <v>68</v>
      </c>
      <c r="AB135">
        <v>19</v>
      </c>
      <c r="AC135" t="s">
        <v>26</v>
      </c>
      <c r="AD135" t="s">
        <v>39</v>
      </c>
      <c r="AE135" t="s">
        <v>121</v>
      </c>
      <c r="AF135">
        <v>4</v>
      </c>
      <c r="AG135">
        <v>0</v>
      </c>
      <c r="AH135" s="1">
        <v>43647</v>
      </c>
      <c r="AI135">
        <v>0</v>
      </c>
      <c r="AJ135">
        <v>4</v>
      </c>
    </row>
    <row r="136" spans="1:36">
      <c r="A136" t="s">
        <v>742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42</v>
      </c>
      <c r="N136" t="s">
        <v>16</v>
      </c>
      <c r="O136">
        <v>2021</v>
      </c>
      <c r="P136" s="1">
        <v>30989</v>
      </c>
      <c r="Q136" t="s">
        <v>44</v>
      </c>
      <c r="R136" t="s">
        <v>18</v>
      </c>
      <c r="S136" t="s">
        <v>19</v>
      </c>
      <c r="T136" t="s">
        <v>20</v>
      </c>
      <c r="U136" t="s">
        <v>21</v>
      </c>
      <c r="V136" s="1">
        <v>42527</v>
      </c>
      <c r="X136" t="s">
        <v>22</v>
      </c>
      <c r="Y136" t="s">
        <v>23</v>
      </c>
      <c r="Z136" t="s">
        <v>24</v>
      </c>
      <c r="AA136" t="s">
        <v>51</v>
      </c>
      <c r="AB136">
        <v>16</v>
      </c>
      <c r="AC136" t="s">
        <v>26</v>
      </c>
      <c r="AD136" t="s">
        <v>39</v>
      </c>
      <c r="AE136" t="s">
        <v>181</v>
      </c>
      <c r="AF136">
        <v>5</v>
      </c>
      <c r="AG136">
        <v>0</v>
      </c>
      <c r="AH136" t="s">
        <v>248</v>
      </c>
      <c r="AI136">
        <v>0</v>
      </c>
      <c r="AJ136">
        <v>4</v>
      </c>
    </row>
    <row r="137" spans="1:36">
      <c r="A137" t="s">
        <v>743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42</v>
      </c>
      <c r="N137" t="s">
        <v>16</v>
      </c>
      <c r="O137">
        <v>2351</v>
      </c>
      <c r="P137" s="1">
        <v>33790</v>
      </c>
      <c r="Q137" t="s">
        <v>44</v>
      </c>
      <c r="R137" t="s">
        <v>149</v>
      </c>
      <c r="S137" t="s">
        <v>19</v>
      </c>
      <c r="T137" t="s">
        <v>20</v>
      </c>
      <c r="U137" t="s">
        <v>21</v>
      </c>
      <c r="V137" s="1">
        <v>42130</v>
      </c>
      <c r="X137" t="s">
        <v>22</v>
      </c>
      <c r="Y137" t="s">
        <v>23</v>
      </c>
      <c r="Z137" t="s">
        <v>24</v>
      </c>
      <c r="AA137" t="s">
        <v>55</v>
      </c>
      <c r="AC137" t="s">
        <v>38</v>
      </c>
      <c r="AD137" t="s">
        <v>39</v>
      </c>
      <c r="AE137" t="s">
        <v>109</v>
      </c>
      <c r="AF137">
        <v>3</v>
      </c>
      <c r="AG137">
        <v>0</v>
      </c>
      <c r="AH137" t="s">
        <v>94</v>
      </c>
      <c r="AI137">
        <v>0</v>
      </c>
      <c r="AJ137">
        <v>6</v>
      </c>
    </row>
    <row r="138" spans="1:36">
      <c r="A138" t="s">
        <v>744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42</v>
      </c>
      <c r="N138" t="s">
        <v>16</v>
      </c>
      <c r="O138">
        <v>1742</v>
      </c>
      <c r="P138" t="s">
        <v>355</v>
      </c>
      <c r="Q138" t="s">
        <v>44</v>
      </c>
      <c r="R138" t="s">
        <v>53</v>
      </c>
      <c r="S138" t="s">
        <v>19</v>
      </c>
      <c r="T138" t="s">
        <v>20</v>
      </c>
      <c r="U138" t="s">
        <v>21</v>
      </c>
      <c r="V138" t="s">
        <v>98</v>
      </c>
      <c r="W138" s="1">
        <v>41278</v>
      </c>
      <c r="X138" t="s">
        <v>86</v>
      </c>
      <c r="Y138" t="s">
        <v>35</v>
      </c>
      <c r="Z138" t="s">
        <v>24</v>
      </c>
      <c r="AA138" t="s">
        <v>59</v>
      </c>
      <c r="AB138">
        <v>11</v>
      </c>
      <c r="AC138" t="s">
        <v>56</v>
      </c>
      <c r="AD138" t="s">
        <v>39</v>
      </c>
      <c r="AE138" t="s">
        <v>356</v>
      </c>
      <c r="AF138">
        <v>3</v>
      </c>
      <c r="AG138">
        <v>0</v>
      </c>
      <c r="AH138" s="1">
        <v>41276</v>
      </c>
      <c r="AI138">
        <v>0</v>
      </c>
      <c r="AJ138">
        <v>18</v>
      </c>
    </row>
    <row r="139" spans="1:36">
      <c r="A139" t="s">
        <v>745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133</v>
      </c>
      <c r="N139" t="s">
        <v>16</v>
      </c>
      <c r="O139">
        <v>2128</v>
      </c>
      <c r="P139" t="s">
        <v>357</v>
      </c>
      <c r="Q139" t="s">
        <v>17</v>
      </c>
      <c r="R139" t="s">
        <v>31</v>
      </c>
      <c r="S139" t="s">
        <v>19</v>
      </c>
      <c r="T139" t="s">
        <v>20</v>
      </c>
      <c r="U139" t="s">
        <v>111</v>
      </c>
      <c r="V139" t="s">
        <v>98</v>
      </c>
      <c r="W139" t="s">
        <v>45</v>
      </c>
      <c r="X139" t="s">
        <v>86</v>
      </c>
      <c r="Y139" t="s">
        <v>35</v>
      </c>
      <c r="Z139" t="s">
        <v>24</v>
      </c>
      <c r="AA139" t="s">
        <v>135</v>
      </c>
      <c r="AB139">
        <v>2</v>
      </c>
      <c r="AC139" t="s">
        <v>38</v>
      </c>
      <c r="AD139" t="s">
        <v>118</v>
      </c>
      <c r="AE139" t="s">
        <v>358</v>
      </c>
      <c r="AF139">
        <v>2</v>
      </c>
      <c r="AG139">
        <v>0</v>
      </c>
      <c r="AH139" s="1">
        <v>41247</v>
      </c>
      <c r="AI139">
        <v>3</v>
      </c>
      <c r="AJ139">
        <v>4</v>
      </c>
    </row>
    <row r="140" spans="1:36">
      <c r="A140" t="s">
        <v>746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15</v>
      </c>
      <c r="N140" t="s">
        <v>16</v>
      </c>
      <c r="O140">
        <v>1775</v>
      </c>
      <c r="P140" t="s">
        <v>359</v>
      </c>
      <c r="Q140" t="s">
        <v>44</v>
      </c>
      <c r="R140" t="s">
        <v>18</v>
      </c>
      <c r="S140" t="s">
        <v>19</v>
      </c>
      <c r="T140" t="s">
        <v>20</v>
      </c>
      <c r="U140" t="s">
        <v>21</v>
      </c>
      <c r="V140" t="s">
        <v>114</v>
      </c>
      <c r="X140" t="s">
        <v>22</v>
      </c>
      <c r="Y140" t="s">
        <v>23</v>
      </c>
      <c r="Z140" t="s">
        <v>24</v>
      </c>
      <c r="AA140" t="s">
        <v>72</v>
      </c>
      <c r="AB140">
        <v>12</v>
      </c>
      <c r="AC140" t="s">
        <v>38</v>
      </c>
      <c r="AD140" t="s">
        <v>39</v>
      </c>
      <c r="AE140" t="s">
        <v>360</v>
      </c>
      <c r="AF140">
        <v>3</v>
      </c>
      <c r="AG140">
        <v>0</v>
      </c>
      <c r="AH140" t="s">
        <v>104</v>
      </c>
      <c r="AI140">
        <v>0</v>
      </c>
      <c r="AJ140">
        <v>14</v>
      </c>
    </row>
    <row r="141" spans="1:36">
      <c r="A141" t="s">
        <v>747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15</v>
      </c>
      <c r="N141" t="s">
        <v>16</v>
      </c>
      <c r="O141">
        <v>2081</v>
      </c>
      <c r="P141" s="1">
        <v>26612</v>
      </c>
      <c r="Q141" t="s">
        <v>44</v>
      </c>
      <c r="R141" t="s">
        <v>18</v>
      </c>
      <c r="S141" t="s">
        <v>19</v>
      </c>
      <c r="T141" t="s">
        <v>20</v>
      </c>
      <c r="U141" t="s">
        <v>71</v>
      </c>
      <c r="V141" s="1">
        <v>41040</v>
      </c>
      <c r="X141" t="s">
        <v>22</v>
      </c>
      <c r="Y141" t="s">
        <v>23</v>
      </c>
      <c r="Z141" t="s">
        <v>24</v>
      </c>
      <c r="AA141" t="s">
        <v>81</v>
      </c>
      <c r="AB141">
        <v>14</v>
      </c>
      <c r="AC141" t="s">
        <v>26</v>
      </c>
      <c r="AD141" t="s">
        <v>39</v>
      </c>
      <c r="AE141" t="s">
        <v>199</v>
      </c>
      <c r="AF141">
        <v>3</v>
      </c>
      <c r="AG141">
        <v>0</v>
      </c>
      <c r="AH141" t="s">
        <v>29</v>
      </c>
      <c r="AI141">
        <v>0</v>
      </c>
      <c r="AJ141">
        <v>7</v>
      </c>
    </row>
    <row r="142" spans="1:36">
      <c r="A142" t="s">
        <v>748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15</v>
      </c>
      <c r="N142" t="s">
        <v>16</v>
      </c>
      <c r="O142">
        <v>1778</v>
      </c>
      <c r="P142" t="s">
        <v>361</v>
      </c>
      <c r="Q142" t="s">
        <v>44</v>
      </c>
      <c r="R142" t="s">
        <v>53</v>
      </c>
      <c r="S142" t="s">
        <v>19</v>
      </c>
      <c r="T142" t="s">
        <v>20</v>
      </c>
      <c r="U142" t="s">
        <v>21</v>
      </c>
      <c r="V142" t="s">
        <v>67</v>
      </c>
      <c r="X142" t="s">
        <v>22</v>
      </c>
      <c r="Y142" t="s">
        <v>23</v>
      </c>
      <c r="Z142" t="s">
        <v>24</v>
      </c>
      <c r="AA142" t="s">
        <v>47</v>
      </c>
      <c r="AB142">
        <v>20</v>
      </c>
      <c r="AC142" t="s">
        <v>69</v>
      </c>
      <c r="AD142" t="s">
        <v>39</v>
      </c>
      <c r="AE142" t="s">
        <v>187</v>
      </c>
      <c r="AF142">
        <v>5</v>
      </c>
      <c r="AG142">
        <v>0</v>
      </c>
      <c r="AH142" t="s">
        <v>166</v>
      </c>
      <c r="AI142">
        <v>0</v>
      </c>
      <c r="AJ142">
        <v>7</v>
      </c>
    </row>
    <row r="143" spans="1:36">
      <c r="A143" t="s">
        <v>749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42</v>
      </c>
      <c r="N143" t="s">
        <v>16</v>
      </c>
      <c r="O143">
        <v>1821</v>
      </c>
      <c r="P143" s="1">
        <v>31574</v>
      </c>
      <c r="Q143" t="s">
        <v>44</v>
      </c>
      <c r="R143" t="s">
        <v>53</v>
      </c>
      <c r="S143" t="s">
        <v>19</v>
      </c>
      <c r="T143" t="s">
        <v>20</v>
      </c>
      <c r="U143" t="s">
        <v>323</v>
      </c>
      <c r="V143" s="1">
        <v>40670</v>
      </c>
      <c r="X143" t="s">
        <v>22</v>
      </c>
      <c r="Y143" t="s">
        <v>23</v>
      </c>
      <c r="Z143" t="s">
        <v>24</v>
      </c>
      <c r="AA143" t="s">
        <v>68</v>
      </c>
      <c r="AB143">
        <v>19</v>
      </c>
      <c r="AC143" t="s">
        <v>26</v>
      </c>
      <c r="AD143" t="s">
        <v>27</v>
      </c>
      <c r="AE143" t="s">
        <v>28</v>
      </c>
      <c r="AF143">
        <v>4</v>
      </c>
      <c r="AG143">
        <v>0</v>
      </c>
      <c r="AH143" t="s">
        <v>70</v>
      </c>
      <c r="AI143">
        <v>0</v>
      </c>
      <c r="AJ143">
        <v>11</v>
      </c>
    </row>
    <row r="144" spans="1:36">
      <c r="A144" t="s">
        <v>750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15</v>
      </c>
      <c r="N144" t="s">
        <v>16</v>
      </c>
      <c r="O144">
        <v>2109</v>
      </c>
      <c r="P144" t="s">
        <v>362</v>
      </c>
      <c r="Q144" t="s">
        <v>44</v>
      </c>
      <c r="R144" t="s">
        <v>149</v>
      </c>
      <c r="S144" t="s">
        <v>19</v>
      </c>
      <c r="T144" t="s">
        <v>20</v>
      </c>
      <c r="U144" t="s">
        <v>21</v>
      </c>
      <c r="V144" s="1">
        <v>41791</v>
      </c>
      <c r="X144" t="s">
        <v>22</v>
      </c>
      <c r="Y144" t="s">
        <v>23</v>
      </c>
      <c r="Z144" t="s">
        <v>24</v>
      </c>
      <c r="AA144" t="s">
        <v>93</v>
      </c>
      <c r="AB144">
        <v>18</v>
      </c>
      <c r="AC144" t="s">
        <v>26</v>
      </c>
      <c r="AD144" t="s">
        <v>39</v>
      </c>
      <c r="AE144" t="s">
        <v>57</v>
      </c>
      <c r="AF144">
        <v>5</v>
      </c>
      <c r="AG144">
        <v>0</v>
      </c>
      <c r="AH144" t="s">
        <v>150</v>
      </c>
      <c r="AI144">
        <v>0</v>
      </c>
      <c r="AJ144">
        <v>9</v>
      </c>
    </row>
    <row r="145" spans="1:36">
      <c r="A145" t="s">
        <v>751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15</v>
      </c>
      <c r="N145" t="s">
        <v>16</v>
      </c>
      <c r="O145">
        <v>2445</v>
      </c>
      <c r="P145" t="s">
        <v>363</v>
      </c>
      <c r="Q145" t="s">
        <v>17</v>
      </c>
      <c r="R145" t="s">
        <v>31</v>
      </c>
      <c r="S145" t="s">
        <v>19</v>
      </c>
      <c r="T145" t="s">
        <v>20</v>
      </c>
      <c r="U145" t="s">
        <v>21</v>
      </c>
      <c r="V145" s="1">
        <v>40735</v>
      </c>
      <c r="W145" t="s">
        <v>364</v>
      </c>
      <c r="X145" t="s">
        <v>233</v>
      </c>
      <c r="Y145" t="s">
        <v>35</v>
      </c>
      <c r="Z145" t="s">
        <v>24</v>
      </c>
      <c r="AA145" t="s">
        <v>25</v>
      </c>
      <c r="AB145">
        <v>22</v>
      </c>
      <c r="AC145" t="s">
        <v>117</v>
      </c>
      <c r="AD145" t="s">
        <v>27</v>
      </c>
      <c r="AE145" t="s">
        <v>192</v>
      </c>
      <c r="AF145">
        <v>4</v>
      </c>
      <c r="AG145">
        <v>0</v>
      </c>
      <c r="AH145" t="s">
        <v>365</v>
      </c>
      <c r="AI145">
        <v>0</v>
      </c>
      <c r="AJ145">
        <v>9</v>
      </c>
    </row>
    <row r="146" spans="1:36">
      <c r="A146" t="s">
        <v>752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107</v>
      </c>
      <c r="N146" t="s">
        <v>16</v>
      </c>
      <c r="O146">
        <v>2301</v>
      </c>
      <c r="P146" s="1">
        <v>31604</v>
      </c>
      <c r="Q146" t="s">
        <v>44</v>
      </c>
      <c r="R146" t="s">
        <v>31</v>
      </c>
      <c r="S146" t="s">
        <v>19</v>
      </c>
      <c r="T146" t="s">
        <v>20</v>
      </c>
      <c r="U146" t="s">
        <v>111</v>
      </c>
      <c r="V146" s="1">
        <v>42125</v>
      </c>
      <c r="X146" t="s">
        <v>22</v>
      </c>
      <c r="Y146" t="s">
        <v>23</v>
      </c>
      <c r="Z146" t="s">
        <v>36</v>
      </c>
      <c r="AA146" t="s">
        <v>37</v>
      </c>
      <c r="AB146">
        <v>4</v>
      </c>
      <c r="AC146" t="s">
        <v>38</v>
      </c>
      <c r="AD146" t="s">
        <v>39</v>
      </c>
      <c r="AE146" t="s">
        <v>366</v>
      </c>
      <c r="AF146">
        <v>3</v>
      </c>
      <c r="AG146">
        <v>5</v>
      </c>
      <c r="AH146" s="1">
        <v>43771</v>
      </c>
      <c r="AI146">
        <v>0</v>
      </c>
      <c r="AJ146">
        <v>2</v>
      </c>
    </row>
    <row r="147" spans="1:36">
      <c r="A147" t="s">
        <v>753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42</v>
      </c>
      <c r="N147" t="s">
        <v>16</v>
      </c>
      <c r="O147">
        <v>2128</v>
      </c>
      <c r="P147" s="1">
        <v>25424</v>
      </c>
      <c r="Q147" t="s">
        <v>44</v>
      </c>
      <c r="R147" t="s">
        <v>18</v>
      </c>
      <c r="S147" t="s">
        <v>19</v>
      </c>
      <c r="T147" t="s">
        <v>20</v>
      </c>
      <c r="U147" t="s">
        <v>21</v>
      </c>
      <c r="V147" s="1">
        <v>41827</v>
      </c>
      <c r="X147" t="s">
        <v>22</v>
      </c>
      <c r="Y147" t="s">
        <v>23</v>
      </c>
      <c r="Z147" t="s">
        <v>24</v>
      </c>
      <c r="AA147" t="s">
        <v>72</v>
      </c>
      <c r="AB147">
        <v>12</v>
      </c>
      <c r="AC147" t="s">
        <v>26</v>
      </c>
      <c r="AD147" t="s">
        <v>27</v>
      </c>
      <c r="AE147" t="s">
        <v>187</v>
      </c>
      <c r="AF147">
        <v>3</v>
      </c>
      <c r="AG147">
        <v>0</v>
      </c>
      <c r="AH147" s="1">
        <v>43770</v>
      </c>
      <c r="AI147">
        <v>0</v>
      </c>
      <c r="AJ147">
        <v>1</v>
      </c>
    </row>
    <row r="148" spans="1:36">
      <c r="A148" t="s">
        <v>754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15</v>
      </c>
      <c r="N148" t="s">
        <v>16</v>
      </c>
      <c r="O148">
        <v>2446</v>
      </c>
      <c r="P148" t="s">
        <v>367</v>
      </c>
      <c r="Q148" t="s">
        <v>44</v>
      </c>
      <c r="R148" t="s">
        <v>31</v>
      </c>
      <c r="S148" t="s">
        <v>19</v>
      </c>
      <c r="T148" t="s">
        <v>20</v>
      </c>
      <c r="U148" t="s">
        <v>71</v>
      </c>
      <c r="V148" s="1">
        <v>40817</v>
      </c>
      <c r="W148" s="1">
        <v>42373</v>
      </c>
      <c r="X148" t="s">
        <v>86</v>
      </c>
      <c r="Y148" t="s">
        <v>35</v>
      </c>
      <c r="Z148" t="s">
        <v>24</v>
      </c>
      <c r="AA148" t="s">
        <v>51</v>
      </c>
      <c r="AB148">
        <v>16</v>
      </c>
      <c r="AC148" t="s">
        <v>117</v>
      </c>
      <c r="AD148" t="s">
        <v>39</v>
      </c>
      <c r="AE148" t="s">
        <v>275</v>
      </c>
      <c r="AF148">
        <v>4</v>
      </c>
      <c r="AG148">
        <v>0</v>
      </c>
      <c r="AH148" s="1">
        <v>42431</v>
      </c>
      <c r="AI148">
        <v>0</v>
      </c>
      <c r="AJ148">
        <v>4</v>
      </c>
    </row>
    <row r="149" spans="1:36">
      <c r="A149" t="s">
        <v>755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215</v>
      </c>
      <c r="N149" t="s">
        <v>368</v>
      </c>
      <c r="O149">
        <v>19444</v>
      </c>
      <c r="P149" s="1">
        <v>32823</v>
      </c>
      <c r="Q149" t="s">
        <v>44</v>
      </c>
      <c r="R149" t="s">
        <v>18</v>
      </c>
      <c r="S149" t="s">
        <v>19</v>
      </c>
      <c r="T149" t="s">
        <v>20</v>
      </c>
      <c r="U149" t="s">
        <v>21</v>
      </c>
      <c r="V149" s="1">
        <v>40735</v>
      </c>
      <c r="W149" t="s">
        <v>369</v>
      </c>
      <c r="X149" t="s">
        <v>370</v>
      </c>
      <c r="Y149" t="s">
        <v>35</v>
      </c>
      <c r="Z149" t="s">
        <v>154</v>
      </c>
      <c r="AA149" t="s">
        <v>217</v>
      </c>
      <c r="AB149">
        <v>15</v>
      </c>
      <c r="AC149" t="s">
        <v>56</v>
      </c>
      <c r="AD149" t="s">
        <v>39</v>
      </c>
      <c r="AE149" t="s">
        <v>109</v>
      </c>
      <c r="AF149">
        <v>5</v>
      </c>
      <c r="AG149">
        <v>0</v>
      </c>
      <c r="AH149" t="s">
        <v>371</v>
      </c>
      <c r="AI149">
        <v>0</v>
      </c>
      <c r="AJ149">
        <v>2</v>
      </c>
    </row>
    <row r="150" spans="1:36">
      <c r="A150" t="s">
        <v>756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15</v>
      </c>
      <c r="N150" t="s">
        <v>16</v>
      </c>
      <c r="O150">
        <v>1887</v>
      </c>
      <c r="P150" t="s">
        <v>372</v>
      </c>
      <c r="Q150" t="s">
        <v>17</v>
      </c>
      <c r="R150" t="s">
        <v>18</v>
      </c>
      <c r="S150" t="s">
        <v>19</v>
      </c>
      <c r="T150" t="s">
        <v>20</v>
      </c>
      <c r="U150" t="s">
        <v>21</v>
      </c>
      <c r="V150" t="s">
        <v>67</v>
      </c>
      <c r="X150" t="s">
        <v>22</v>
      </c>
      <c r="Y150" t="s">
        <v>23</v>
      </c>
      <c r="Z150" t="s">
        <v>24</v>
      </c>
      <c r="AA150" t="s">
        <v>25</v>
      </c>
      <c r="AB150">
        <v>22</v>
      </c>
      <c r="AC150" t="s">
        <v>38</v>
      </c>
      <c r="AD150" t="s">
        <v>39</v>
      </c>
      <c r="AE150" t="s">
        <v>373</v>
      </c>
      <c r="AF150">
        <v>4</v>
      </c>
      <c r="AG150">
        <v>0</v>
      </c>
      <c r="AH150" t="s">
        <v>240</v>
      </c>
      <c r="AI150">
        <v>0</v>
      </c>
      <c r="AJ150">
        <v>10</v>
      </c>
    </row>
    <row r="151" spans="1:36">
      <c r="A151" t="s">
        <v>757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151</v>
      </c>
      <c r="N151" t="s">
        <v>374</v>
      </c>
      <c r="O151">
        <v>80820</v>
      </c>
      <c r="P151" t="s">
        <v>375</v>
      </c>
      <c r="Q151" t="s">
        <v>17</v>
      </c>
      <c r="R151" t="s">
        <v>18</v>
      </c>
      <c r="S151" t="s">
        <v>19</v>
      </c>
      <c r="T151" t="s">
        <v>20</v>
      </c>
      <c r="U151" t="s">
        <v>21</v>
      </c>
      <c r="V151" t="s">
        <v>114</v>
      </c>
      <c r="X151" t="s">
        <v>22</v>
      </c>
      <c r="Y151" t="s">
        <v>23</v>
      </c>
      <c r="Z151" t="s">
        <v>154</v>
      </c>
      <c r="AA151" t="s">
        <v>180</v>
      </c>
      <c r="AB151">
        <v>21</v>
      </c>
      <c r="AC151" t="s">
        <v>38</v>
      </c>
      <c r="AD151" t="s">
        <v>39</v>
      </c>
      <c r="AE151" t="s">
        <v>187</v>
      </c>
      <c r="AF151">
        <v>5</v>
      </c>
      <c r="AG151">
        <v>0</v>
      </c>
      <c r="AH151" t="s">
        <v>211</v>
      </c>
      <c r="AI151">
        <v>0</v>
      </c>
      <c r="AJ151">
        <v>13</v>
      </c>
    </row>
    <row r="152" spans="1:36">
      <c r="A152" t="s">
        <v>758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376</v>
      </c>
      <c r="N152" t="s">
        <v>16</v>
      </c>
      <c r="O152">
        <v>1902</v>
      </c>
      <c r="P152" t="s">
        <v>377</v>
      </c>
      <c r="Q152" t="s">
        <v>44</v>
      </c>
      <c r="R152" t="s">
        <v>31</v>
      </c>
      <c r="S152" t="s">
        <v>19</v>
      </c>
      <c r="T152" t="s">
        <v>79</v>
      </c>
      <c r="U152" t="s">
        <v>21</v>
      </c>
      <c r="V152" s="1">
        <v>40946</v>
      </c>
      <c r="X152" t="s">
        <v>22</v>
      </c>
      <c r="Y152" t="s">
        <v>23</v>
      </c>
      <c r="Z152" t="s">
        <v>378</v>
      </c>
      <c r="AA152" t="s">
        <v>294</v>
      </c>
      <c r="AB152">
        <v>9</v>
      </c>
      <c r="AC152" t="s">
        <v>38</v>
      </c>
      <c r="AD152" t="s">
        <v>39</v>
      </c>
      <c r="AE152" t="s">
        <v>379</v>
      </c>
      <c r="AF152">
        <v>3</v>
      </c>
      <c r="AG152">
        <v>0</v>
      </c>
      <c r="AH152" t="s">
        <v>29</v>
      </c>
      <c r="AI152">
        <v>0</v>
      </c>
      <c r="AJ152">
        <v>10</v>
      </c>
    </row>
    <row r="153" spans="1:36">
      <c r="A153" t="s">
        <v>759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15</v>
      </c>
      <c r="N153" t="s">
        <v>16</v>
      </c>
      <c r="O153">
        <v>2170</v>
      </c>
      <c r="P153" s="1">
        <v>26888</v>
      </c>
      <c r="Q153" t="s">
        <v>44</v>
      </c>
      <c r="R153" t="s">
        <v>31</v>
      </c>
      <c r="S153" t="s">
        <v>19</v>
      </c>
      <c r="T153" t="s">
        <v>20</v>
      </c>
      <c r="U153" t="s">
        <v>21</v>
      </c>
      <c r="V153" t="s">
        <v>197</v>
      </c>
      <c r="W153" s="1">
        <v>42100</v>
      </c>
      <c r="X153" t="s">
        <v>233</v>
      </c>
      <c r="Y153" t="s">
        <v>35</v>
      </c>
      <c r="Z153" t="s">
        <v>24</v>
      </c>
      <c r="AA153" t="s">
        <v>55</v>
      </c>
      <c r="AB153">
        <v>39</v>
      </c>
      <c r="AC153" t="s">
        <v>56</v>
      </c>
      <c r="AD153" t="s">
        <v>39</v>
      </c>
      <c r="AE153" t="s">
        <v>343</v>
      </c>
      <c r="AF153">
        <v>5</v>
      </c>
      <c r="AG153">
        <v>0</v>
      </c>
      <c r="AH153" s="1">
        <v>42007</v>
      </c>
      <c r="AI153">
        <v>0</v>
      </c>
      <c r="AJ153">
        <v>16</v>
      </c>
    </row>
    <row r="154" spans="1:36">
      <c r="A154" t="s">
        <v>760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15</v>
      </c>
      <c r="N154" t="s">
        <v>16</v>
      </c>
      <c r="O154">
        <v>2127</v>
      </c>
      <c r="P154" s="1">
        <v>25790</v>
      </c>
      <c r="Q154" t="s">
        <v>44</v>
      </c>
      <c r="R154" t="s">
        <v>31</v>
      </c>
      <c r="S154" t="s">
        <v>19</v>
      </c>
      <c r="T154" t="s">
        <v>20</v>
      </c>
      <c r="U154" t="s">
        <v>21</v>
      </c>
      <c r="V154" t="s">
        <v>197</v>
      </c>
      <c r="W154" s="1">
        <v>41883</v>
      </c>
      <c r="X154" t="s">
        <v>233</v>
      </c>
      <c r="Y154" t="s">
        <v>35</v>
      </c>
      <c r="Z154" t="s">
        <v>24</v>
      </c>
      <c r="AA154" t="s">
        <v>59</v>
      </c>
      <c r="AB154">
        <v>11</v>
      </c>
      <c r="AC154" t="s">
        <v>56</v>
      </c>
      <c r="AD154" t="s">
        <v>39</v>
      </c>
      <c r="AE154" t="s">
        <v>380</v>
      </c>
      <c r="AF154">
        <v>4</v>
      </c>
      <c r="AG154">
        <v>0</v>
      </c>
      <c r="AH154" t="s">
        <v>340</v>
      </c>
      <c r="AI154">
        <v>0</v>
      </c>
      <c r="AJ154">
        <v>6</v>
      </c>
    </row>
    <row r="155" spans="1:36">
      <c r="A155" t="s">
        <v>761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15</v>
      </c>
      <c r="N155" t="s">
        <v>16</v>
      </c>
      <c r="O155">
        <v>1721</v>
      </c>
      <c r="P155" s="1">
        <v>28409</v>
      </c>
      <c r="Q155" t="s">
        <v>17</v>
      </c>
      <c r="R155" t="s">
        <v>18</v>
      </c>
      <c r="S155" t="s">
        <v>19</v>
      </c>
      <c r="T155" t="s">
        <v>20</v>
      </c>
      <c r="U155" t="s">
        <v>71</v>
      </c>
      <c r="V155" t="s">
        <v>125</v>
      </c>
      <c r="X155" t="s">
        <v>22</v>
      </c>
      <c r="Y155" t="s">
        <v>23</v>
      </c>
      <c r="Z155" t="s">
        <v>24</v>
      </c>
      <c r="AA155" t="s">
        <v>68</v>
      </c>
      <c r="AB155">
        <v>19</v>
      </c>
      <c r="AC155" t="s">
        <v>26</v>
      </c>
      <c r="AD155" t="s">
        <v>39</v>
      </c>
      <c r="AE155" t="s">
        <v>221</v>
      </c>
      <c r="AF155">
        <v>3</v>
      </c>
      <c r="AG155">
        <v>0</v>
      </c>
      <c r="AH155" s="1">
        <v>43618</v>
      </c>
      <c r="AI155">
        <v>0</v>
      </c>
      <c r="AJ155">
        <v>3</v>
      </c>
    </row>
    <row r="156" spans="1:36">
      <c r="A156" t="s">
        <v>762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15</v>
      </c>
      <c r="N156" t="s">
        <v>16</v>
      </c>
      <c r="O156">
        <v>1801</v>
      </c>
      <c r="P156" s="1">
        <v>29253</v>
      </c>
      <c r="Q156" t="s">
        <v>17</v>
      </c>
      <c r="R156" t="s">
        <v>31</v>
      </c>
      <c r="S156" t="s">
        <v>19</v>
      </c>
      <c r="T156" t="s">
        <v>20</v>
      </c>
      <c r="U156" t="s">
        <v>111</v>
      </c>
      <c r="V156" s="1">
        <v>40817</v>
      </c>
      <c r="X156" t="s">
        <v>22</v>
      </c>
      <c r="Y156" t="s">
        <v>23</v>
      </c>
      <c r="Z156" t="s">
        <v>24</v>
      </c>
      <c r="AA156" t="s">
        <v>72</v>
      </c>
      <c r="AB156">
        <v>12</v>
      </c>
      <c r="AC156" t="s">
        <v>38</v>
      </c>
      <c r="AD156" t="s">
        <v>39</v>
      </c>
      <c r="AE156" t="s">
        <v>381</v>
      </c>
      <c r="AF156">
        <v>3</v>
      </c>
      <c r="AG156">
        <v>0</v>
      </c>
      <c r="AH156" t="s">
        <v>150</v>
      </c>
      <c r="AI156">
        <v>0</v>
      </c>
      <c r="AJ156">
        <v>17</v>
      </c>
    </row>
    <row r="157" spans="1:36">
      <c r="A157" t="s">
        <v>763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151</v>
      </c>
      <c r="N157" t="s">
        <v>382</v>
      </c>
      <c r="O157">
        <v>10171</v>
      </c>
      <c r="P157" t="s">
        <v>383</v>
      </c>
      <c r="Q157" t="s">
        <v>17</v>
      </c>
      <c r="R157" t="s">
        <v>18</v>
      </c>
      <c r="S157" t="s">
        <v>19</v>
      </c>
      <c r="T157" t="s">
        <v>79</v>
      </c>
      <c r="U157" t="s">
        <v>71</v>
      </c>
      <c r="V157" s="1">
        <v>40727</v>
      </c>
      <c r="X157" t="s">
        <v>22</v>
      </c>
      <c r="Y157" t="s">
        <v>23</v>
      </c>
      <c r="Z157" t="s">
        <v>154</v>
      </c>
      <c r="AA157" t="s">
        <v>155</v>
      </c>
      <c r="AB157">
        <v>17</v>
      </c>
      <c r="AC157" t="s">
        <v>73</v>
      </c>
      <c r="AD157" t="s">
        <v>39</v>
      </c>
      <c r="AE157" t="s">
        <v>384</v>
      </c>
      <c r="AF157">
        <v>5</v>
      </c>
      <c r="AG157">
        <v>0</v>
      </c>
      <c r="AH157" t="s">
        <v>29</v>
      </c>
      <c r="AI157">
        <v>0</v>
      </c>
      <c r="AJ157">
        <v>20</v>
      </c>
    </row>
    <row r="158" spans="1:36">
      <c r="A158" t="s">
        <v>764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214</v>
      </c>
      <c r="N158" t="s">
        <v>16</v>
      </c>
      <c r="O158">
        <v>2169</v>
      </c>
      <c r="P158" t="s">
        <v>385</v>
      </c>
      <c r="Q158" t="s">
        <v>17</v>
      </c>
      <c r="R158" t="s">
        <v>31</v>
      </c>
      <c r="S158" t="s">
        <v>19</v>
      </c>
      <c r="T158" t="s">
        <v>20</v>
      </c>
      <c r="U158" t="s">
        <v>21</v>
      </c>
      <c r="V158" s="1">
        <v>41923</v>
      </c>
      <c r="X158" t="s">
        <v>22</v>
      </c>
      <c r="Y158" t="s">
        <v>23</v>
      </c>
      <c r="Z158" t="s">
        <v>36</v>
      </c>
      <c r="AA158" t="s">
        <v>77</v>
      </c>
      <c r="AB158">
        <v>7</v>
      </c>
      <c r="AC158" t="s">
        <v>69</v>
      </c>
      <c r="AD158" t="s">
        <v>39</v>
      </c>
      <c r="AE158" t="s">
        <v>74</v>
      </c>
      <c r="AF158">
        <v>5</v>
      </c>
      <c r="AG158">
        <v>6</v>
      </c>
      <c r="AH158" s="1">
        <v>43647</v>
      </c>
      <c r="AI158">
        <v>0</v>
      </c>
      <c r="AJ158">
        <v>7</v>
      </c>
    </row>
    <row r="159" spans="1:36">
      <c r="A159" t="s">
        <v>765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133</v>
      </c>
      <c r="N159" t="s">
        <v>16</v>
      </c>
      <c r="O159">
        <v>1890</v>
      </c>
      <c r="P159" s="1">
        <v>26305</v>
      </c>
      <c r="Q159" t="s">
        <v>17</v>
      </c>
      <c r="R159" t="s">
        <v>31</v>
      </c>
      <c r="S159" t="s">
        <v>19</v>
      </c>
      <c r="T159" t="s">
        <v>20</v>
      </c>
      <c r="U159" t="s">
        <v>21</v>
      </c>
      <c r="V159" s="1">
        <v>40817</v>
      </c>
      <c r="W159" s="1">
        <v>42350</v>
      </c>
      <c r="X159" t="s">
        <v>99</v>
      </c>
      <c r="Y159" t="s">
        <v>100</v>
      </c>
      <c r="Z159" t="s">
        <v>24</v>
      </c>
      <c r="AA159" t="s">
        <v>135</v>
      </c>
      <c r="AB159">
        <v>2</v>
      </c>
      <c r="AC159" t="s">
        <v>69</v>
      </c>
      <c r="AD159" t="s">
        <v>39</v>
      </c>
      <c r="AE159" t="s">
        <v>386</v>
      </c>
      <c r="AF159">
        <v>4</v>
      </c>
      <c r="AG159">
        <v>0</v>
      </c>
      <c r="AH159" t="s">
        <v>387</v>
      </c>
      <c r="AI159">
        <v>0</v>
      </c>
      <c r="AJ159">
        <v>9</v>
      </c>
    </row>
    <row r="160" spans="1:36">
      <c r="A160" t="s">
        <v>766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42</v>
      </c>
      <c r="N160" t="s">
        <v>16</v>
      </c>
      <c r="O160">
        <v>2090</v>
      </c>
      <c r="P160" t="s">
        <v>388</v>
      </c>
      <c r="Q160" t="s">
        <v>44</v>
      </c>
      <c r="R160" t="s">
        <v>53</v>
      </c>
      <c r="S160" t="s">
        <v>19</v>
      </c>
      <c r="T160" t="s">
        <v>20</v>
      </c>
      <c r="U160" t="s">
        <v>111</v>
      </c>
      <c r="V160" s="1">
        <v>41456</v>
      </c>
      <c r="W160" t="s">
        <v>168</v>
      </c>
      <c r="X160" t="s">
        <v>80</v>
      </c>
      <c r="Y160" t="s">
        <v>35</v>
      </c>
      <c r="Z160" t="s">
        <v>24</v>
      </c>
      <c r="AA160" t="s">
        <v>81</v>
      </c>
      <c r="AB160">
        <v>14</v>
      </c>
      <c r="AC160" t="s">
        <v>38</v>
      </c>
      <c r="AD160" t="s">
        <v>39</v>
      </c>
      <c r="AE160" t="s">
        <v>258</v>
      </c>
      <c r="AF160">
        <v>3</v>
      </c>
      <c r="AG160">
        <v>0</v>
      </c>
      <c r="AH160" t="s">
        <v>137</v>
      </c>
      <c r="AI160">
        <v>0</v>
      </c>
      <c r="AJ160">
        <v>20</v>
      </c>
    </row>
    <row r="161" spans="1:36">
      <c r="A161" t="s">
        <v>767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15</v>
      </c>
      <c r="N161" t="s">
        <v>16</v>
      </c>
      <c r="O161">
        <v>2048</v>
      </c>
      <c r="P161" s="1">
        <v>31667</v>
      </c>
      <c r="Q161" t="s">
        <v>17</v>
      </c>
      <c r="R161" t="s">
        <v>31</v>
      </c>
      <c r="S161" t="s">
        <v>19</v>
      </c>
      <c r="T161" t="s">
        <v>20</v>
      </c>
      <c r="U161" t="s">
        <v>21</v>
      </c>
      <c r="V161" s="1">
        <v>41159</v>
      </c>
      <c r="X161" t="s">
        <v>22</v>
      </c>
      <c r="Y161" t="s">
        <v>23</v>
      </c>
      <c r="Z161" t="s">
        <v>24</v>
      </c>
      <c r="AA161" t="s">
        <v>81</v>
      </c>
      <c r="AB161">
        <v>14</v>
      </c>
      <c r="AC161" t="s">
        <v>26</v>
      </c>
      <c r="AD161" t="s">
        <v>39</v>
      </c>
      <c r="AE161" t="s">
        <v>57</v>
      </c>
      <c r="AF161">
        <v>5</v>
      </c>
      <c r="AG161">
        <v>0</v>
      </c>
      <c r="AH161" s="1">
        <v>43557</v>
      </c>
      <c r="AI161">
        <v>0</v>
      </c>
      <c r="AJ161">
        <v>13</v>
      </c>
    </row>
    <row r="162" spans="1:36">
      <c r="A162" t="s">
        <v>768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141</v>
      </c>
      <c r="N162" t="s">
        <v>16</v>
      </c>
      <c r="O162">
        <v>1460</v>
      </c>
      <c r="P162" t="s">
        <v>389</v>
      </c>
      <c r="Q162" t="s">
        <v>17</v>
      </c>
      <c r="R162" t="s">
        <v>53</v>
      </c>
      <c r="S162" t="s">
        <v>19</v>
      </c>
      <c r="T162" t="s">
        <v>20</v>
      </c>
      <c r="U162" t="s">
        <v>71</v>
      </c>
      <c r="V162" s="1">
        <v>41791</v>
      </c>
      <c r="X162" t="s">
        <v>22</v>
      </c>
      <c r="Y162" t="s">
        <v>23</v>
      </c>
      <c r="Z162" t="s">
        <v>131</v>
      </c>
      <c r="AA162" t="s">
        <v>132</v>
      </c>
      <c r="AB162">
        <v>1</v>
      </c>
      <c r="AC162" t="s">
        <v>244</v>
      </c>
      <c r="AD162" t="s">
        <v>39</v>
      </c>
      <c r="AE162" t="s">
        <v>57</v>
      </c>
      <c r="AF162">
        <v>4</v>
      </c>
      <c r="AG162">
        <v>4</v>
      </c>
      <c r="AH162" t="s">
        <v>29</v>
      </c>
      <c r="AI162">
        <v>0</v>
      </c>
      <c r="AJ162">
        <v>3</v>
      </c>
    </row>
    <row r="163" spans="1:36">
      <c r="A163" t="s">
        <v>769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42</v>
      </c>
      <c r="N163" t="s">
        <v>16</v>
      </c>
      <c r="O163">
        <v>2126</v>
      </c>
      <c r="P163" s="1">
        <v>30930</v>
      </c>
      <c r="Q163" t="s">
        <v>17</v>
      </c>
      <c r="R163" t="s">
        <v>31</v>
      </c>
      <c r="S163" t="s">
        <v>19</v>
      </c>
      <c r="T163" t="s">
        <v>20</v>
      </c>
      <c r="U163" t="s">
        <v>21</v>
      </c>
      <c r="V163" s="1">
        <v>40943</v>
      </c>
      <c r="W163" t="s">
        <v>390</v>
      </c>
      <c r="X163" t="s">
        <v>233</v>
      </c>
      <c r="Y163" t="s">
        <v>35</v>
      </c>
      <c r="Z163" t="s">
        <v>24</v>
      </c>
      <c r="AA163" t="s">
        <v>47</v>
      </c>
      <c r="AB163">
        <v>20</v>
      </c>
      <c r="AC163" t="s">
        <v>56</v>
      </c>
      <c r="AD163" t="s">
        <v>39</v>
      </c>
      <c r="AE163" t="s">
        <v>391</v>
      </c>
      <c r="AF163">
        <v>3</v>
      </c>
      <c r="AG163">
        <v>0</v>
      </c>
      <c r="AH163" t="s">
        <v>392</v>
      </c>
      <c r="AI163">
        <v>0</v>
      </c>
      <c r="AJ163">
        <v>20</v>
      </c>
    </row>
    <row r="164" spans="1:36">
      <c r="A164" t="s">
        <v>770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393</v>
      </c>
      <c r="N164" t="s">
        <v>16</v>
      </c>
      <c r="O164">
        <v>1886</v>
      </c>
      <c r="P164" t="s">
        <v>394</v>
      </c>
      <c r="Q164" t="s">
        <v>44</v>
      </c>
      <c r="R164" t="s">
        <v>18</v>
      </c>
      <c r="S164" t="s">
        <v>19</v>
      </c>
      <c r="T164" t="s">
        <v>20</v>
      </c>
      <c r="U164" t="s">
        <v>111</v>
      </c>
      <c r="V164" s="1">
        <v>42410</v>
      </c>
      <c r="X164" t="s">
        <v>22</v>
      </c>
      <c r="Y164" t="s">
        <v>23</v>
      </c>
      <c r="Z164" t="s">
        <v>36</v>
      </c>
      <c r="AA164" t="s">
        <v>238</v>
      </c>
      <c r="AB164">
        <v>13</v>
      </c>
      <c r="AC164" t="s">
        <v>38</v>
      </c>
      <c r="AD164" t="s">
        <v>39</v>
      </c>
      <c r="AE164" t="s">
        <v>199</v>
      </c>
      <c r="AF164">
        <v>5</v>
      </c>
      <c r="AG164">
        <v>7</v>
      </c>
      <c r="AH164" s="1">
        <v>43678</v>
      </c>
      <c r="AI164">
        <v>0</v>
      </c>
      <c r="AJ164">
        <v>2</v>
      </c>
    </row>
    <row r="165" spans="1:36">
      <c r="A165" t="s">
        <v>771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15</v>
      </c>
      <c r="N165" t="s">
        <v>16</v>
      </c>
      <c r="O165">
        <v>1810</v>
      </c>
      <c r="P165" t="s">
        <v>395</v>
      </c>
      <c r="Q165" t="s">
        <v>44</v>
      </c>
      <c r="R165" t="s">
        <v>18</v>
      </c>
      <c r="S165" t="s">
        <v>19</v>
      </c>
      <c r="T165" t="s">
        <v>20</v>
      </c>
      <c r="U165" t="s">
        <v>111</v>
      </c>
      <c r="V165" t="s">
        <v>197</v>
      </c>
      <c r="W165" t="s">
        <v>288</v>
      </c>
      <c r="X165" t="s">
        <v>54</v>
      </c>
      <c r="Y165" t="s">
        <v>35</v>
      </c>
      <c r="Z165" t="s">
        <v>24</v>
      </c>
      <c r="AA165" t="s">
        <v>47</v>
      </c>
      <c r="AB165">
        <v>20</v>
      </c>
      <c r="AC165" t="s">
        <v>117</v>
      </c>
      <c r="AD165" t="s">
        <v>39</v>
      </c>
      <c r="AE165" t="s">
        <v>396</v>
      </c>
      <c r="AF165">
        <v>3</v>
      </c>
      <c r="AG165">
        <v>0</v>
      </c>
      <c r="AH165" s="1">
        <v>42773</v>
      </c>
      <c r="AI165">
        <v>0</v>
      </c>
      <c r="AJ165">
        <v>17</v>
      </c>
    </row>
    <row r="166" spans="1:36">
      <c r="A166" t="s">
        <v>772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397</v>
      </c>
      <c r="N166" t="s">
        <v>16</v>
      </c>
      <c r="O166">
        <v>1460</v>
      </c>
      <c r="P166" s="1">
        <v>30961</v>
      </c>
      <c r="Q166" t="s">
        <v>17</v>
      </c>
      <c r="R166" t="s">
        <v>31</v>
      </c>
      <c r="S166" t="s">
        <v>19</v>
      </c>
      <c r="T166" t="s">
        <v>20</v>
      </c>
      <c r="U166" t="s">
        <v>21</v>
      </c>
      <c r="V166" s="1">
        <v>42491</v>
      </c>
      <c r="X166" t="s">
        <v>22</v>
      </c>
      <c r="Y166" t="s">
        <v>23</v>
      </c>
      <c r="Z166" t="s">
        <v>131</v>
      </c>
      <c r="AA166" t="s">
        <v>135</v>
      </c>
      <c r="AB166">
        <v>2</v>
      </c>
      <c r="AC166" t="s">
        <v>117</v>
      </c>
      <c r="AD166" t="s">
        <v>39</v>
      </c>
      <c r="AE166" t="s">
        <v>199</v>
      </c>
      <c r="AF166">
        <v>4</v>
      </c>
      <c r="AG166">
        <v>0</v>
      </c>
      <c r="AH166" t="s">
        <v>213</v>
      </c>
      <c r="AI166">
        <v>0</v>
      </c>
      <c r="AJ166">
        <v>20</v>
      </c>
    </row>
    <row r="167" spans="1:36">
      <c r="A167" t="s">
        <v>773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15</v>
      </c>
      <c r="N167" t="s">
        <v>16</v>
      </c>
      <c r="O167">
        <v>1776</v>
      </c>
      <c r="P167" s="1">
        <v>29991</v>
      </c>
      <c r="Q167" t="s">
        <v>17</v>
      </c>
      <c r="R167" t="s">
        <v>31</v>
      </c>
      <c r="S167" t="s">
        <v>19</v>
      </c>
      <c r="T167" t="s">
        <v>20</v>
      </c>
      <c r="U167" t="s">
        <v>111</v>
      </c>
      <c r="V167" t="s">
        <v>179</v>
      </c>
      <c r="X167" t="s">
        <v>22</v>
      </c>
      <c r="Y167" t="s">
        <v>23</v>
      </c>
      <c r="Z167" t="s">
        <v>24</v>
      </c>
      <c r="AA167" t="s">
        <v>51</v>
      </c>
      <c r="AB167">
        <v>16</v>
      </c>
      <c r="AC167" t="s">
        <v>56</v>
      </c>
      <c r="AD167" t="s">
        <v>39</v>
      </c>
      <c r="AE167" t="s">
        <v>199</v>
      </c>
      <c r="AF167">
        <v>3</v>
      </c>
      <c r="AG167">
        <v>0</v>
      </c>
      <c r="AH167" t="s">
        <v>166</v>
      </c>
      <c r="AI167">
        <v>0</v>
      </c>
      <c r="AJ167">
        <v>10</v>
      </c>
    </row>
    <row r="168" spans="1:36">
      <c r="A168" t="s">
        <v>774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151</v>
      </c>
      <c r="N168" t="s">
        <v>398</v>
      </c>
      <c r="O168">
        <v>84111</v>
      </c>
      <c r="P168" t="s">
        <v>399</v>
      </c>
      <c r="Q168" t="s">
        <v>17</v>
      </c>
      <c r="R168" t="s">
        <v>149</v>
      </c>
      <c r="S168" t="s">
        <v>19</v>
      </c>
      <c r="T168" t="s">
        <v>20</v>
      </c>
      <c r="U168" t="s">
        <v>71</v>
      </c>
      <c r="V168" t="s">
        <v>400</v>
      </c>
      <c r="X168" t="s">
        <v>22</v>
      </c>
      <c r="Y168" t="s">
        <v>23</v>
      </c>
      <c r="Z168" t="s">
        <v>154</v>
      </c>
      <c r="AA168" t="s">
        <v>155</v>
      </c>
      <c r="AB168">
        <v>17</v>
      </c>
      <c r="AC168" t="s">
        <v>244</v>
      </c>
      <c r="AD168" t="s">
        <v>39</v>
      </c>
      <c r="AE168" t="s">
        <v>401</v>
      </c>
      <c r="AF168">
        <v>3</v>
      </c>
      <c r="AG168">
        <v>0</v>
      </c>
      <c r="AH168" t="s">
        <v>246</v>
      </c>
      <c r="AI168">
        <v>0</v>
      </c>
      <c r="AJ168">
        <v>16</v>
      </c>
    </row>
    <row r="169" spans="1:36">
      <c r="A169" t="s">
        <v>775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133</v>
      </c>
      <c r="N169" t="s">
        <v>16</v>
      </c>
      <c r="O169">
        <v>2110</v>
      </c>
      <c r="P169" t="s">
        <v>402</v>
      </c>
      <c r="Q169" t="s">
        <v>44</v>
      </c>
      <c r="R169" t="s">
        <v>31</v>
      </c>
      <c r="S169" t="s">
        <v>19</v>
      </c>
      <c r="T169" t="s">
        <v>20</v>
      </c>
      <c r="U169" t="s">
        <v>21</v>
      </c>
      <c r="V169" t="s">
        <v>67</v>
      </c>
      <c r="X169" t="s">
        <v>22</v>
      </c>
      <c r="Y169" t="s">
        <v>23</v>
      </c>
      <c r="Z169" t="s">
        <v>24</v>
      </c>
      <c r="AA169" t="s">
        <v>135</v>
      </c>
      <c r="AB169">
        <v>2</v>
      </c>
      <c r="AC169" t="s">
        <v>244</v>
      </c>
      <c r="AD169" t="s">
        <v>27</v>
      </c>
      <c r="AE169" t="s">
        <v>199</v>
      </c>
      <c r="AF169">
        <v>3</v>
      </c>
      <c r="AG169">
        <v>0</v>
      </c>
      <c r="AH169" t="s">
        <v>150</v>
      </c>
      <c r="AI169">
        <v>0</v>
      </c>
      <c r="AJ169">
        <v>11</v>
      </c>
    </row>
    <row r="170" spans="1:36">
      <c r="A170" t="s">
        <v>776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15</v>
      </c>
      <c r="N170" t="s">
        <v>16</v>
      </c>
      <c r="O170">
        <v>1886</v>
      </c>
      <c r="P170" t="s">
        <v>403</v>
      </c>
      <c r="Q170" t="s">
        <v>44</v>
      </c>
      <c r="R170" t="s">
        <v>31</v>
      </c>
      <c r="S170" t="s">
        <v>19</v>
      </c>
      <c r="T170" t="s">
        <v>20</v>
      </c>
      <c r="U170" t="s">
        <v>21</v>
      </c>
      <c r="V170" s="1">
        <v>40670</v>
      </c>
      <c r="W170" t="s">
        <v>404</v>
      </c>
      <c r="X170" t="s">
        <v>86</v>
      </c>
      <c r="Y170" t="s">
        <v>35</v>
      </c>
      <c r="Z170" t="s">
        <v>24</v>
      </c>
      <c r="AA170" t="s">
        <v>25</v>
      </c>
      <c r="AB170">
        <v>22</v>
      </c>
      <c r="AC170" t="s">
        <v>38</v>
      </c>
      <c r="AD170" t="s">
        <v>39</v>
      </c>
      <c r="AE170" t="s">
        <v>405</v>
      </c>
      <c r="AF170">
        <v>4</v>
      </c>
      <c r="AG170">
        <v>0</v>
      </c>
      <c r="AH170" s="1">
        <v>43134</v>
      </c>
      <c r="AI170">
        <v>0</v>
      </c>
      <c r="AJ170">
        <v>16</v>
      </c>
    </row>
    <row r="171" spans="1:36">
      <c r="A171" t="s">
        <v>777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42</v>
      </c>
      <c r="N171" t="s">
        <v>16</v>
      </c>
      <c r="O171">
        <v>1770</v>
      </c>
      <c r="P171" t="s">
        <v>406</v>
      </c>
      <c r="Q171" t="s">
        <v>17</v>
      </c>
      <c r="R171" t="s">
        <v>31</v>
      </c>
      <c r="S171" t="s">
        <v>19</v>
      </c>
      <c r="T171" t="s">
        <v>20</v>
      </c>
      <c r="U171" t="s">
        <v>21</v>
      </c>
      <c r="V171" s="1">
        <v>41493</v>
      </c>
      <c r="X171" t="s">
        <v>22</v>
      </c>
      <c r="Y171" t="s">
        <v>23</v>
      </c>
      <c r="Z171" t="s">
        <v>24</v>
      </c>
      <c r="AA171" t="s">
        <v>93</v>
      </c>
      <c r="AB171">
        <v>18</v>
      </c>
      <c r="AC171" t="s">
        <v>26</v>
      </c>
      <c r="AD171" t="s">
        <v>39</v>
      </c>
      <c r="AE171" t="s">
        <v>275</v>
      </c>
      <c r="AF171">
        <v>3</v>
      </c>
      <c r="AG171">
        <v>0</v>
      </c>
      <c r="AH171" t="s">
        <v>78</v>
      </c>
      <c r="AI171">
        <v>0</v>
      </c>
      <c r="AJ171">
        <v>7</v>
      </c>
    </row>
    <row r="172" spans="1:36">
      <c r="A172" t="s">
        <v>778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76</v>
      </c>
      <c r="N172" t="s">
        <v>123</v>
      </c>
      <c r="O172">
        <v>6070</v>
      </c>
      <c r="P172" s="1">
        <v>32273</v>
      </c>
      <c r="Q172" t="s">
        <v>44</v>
      </c>
      <c r="R172" t="s">
        <v>18</v>
      </c>
      <c r="S172" t="s">
        <v>19</v>
      </c>
      <c r="T172" t="s">
        <v>79</v>
      </c>
      <c r="U172" t="s">
        <v>71</v>
      </c>
      <c r="V172" t="s">
        <v>407</v>
      </c>
      <c r="X172" t="s">
        <v>22</v>
      </c>
      <c r="Y172" t="s">
        <v>23</v>
      </c>
      <c r="Z172" t="s">
        <v>36</v>
      </c>
      <c r="AA172" t="s">
        <v>191</v>
      </c>
      <c r="AB172">
        <v>6</v>
      </c>
      <c r="AC172" t="s">
        <v>73</v>
      </c>
      <c r="AD172" t="s">
        <v>27</v>
      </c>
      <c r="AE172" t="s">
        <v>335</v>
      </c>
      <c r="AF172">
        <v>4</v>
      </c>
      <c r="AG172">
        <v>5</v>
      </c>
      <c r="AH172" t="s">
        <v>75</v>
      </c>
      <c r="AI172">
        <v>0</v>
      </c>
      <c r="AJ172">
        <v>14</v>
      </c>
    </row>
    <row r="173" spans="1:36">
      <c r="A173" t="s">
        <v>779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42</v>
      </c>
      <c r="N173" t="s">
        <v>16</v>
      </c>
      <c r="O173">
        <v>2122</v>
      </c>
      <c r="P173" t="s">
        <v>408</v>
      </c>
      <c r="Q173" t="s">
        <v>44</v>
      </c>
      <c r="R173" t="s">
        <v>66</v>
      </c>
      <c r="S173" t="s">
        <v>19</v>
      </c>
      <c r="T173" t="s">
        <v>20</v>
      </c>
      <c r="U173" t="s">
        <v>21</v>
      </c>
      <c r="V173" s="1">
        <v>41493</v>
      </c>
      <c r="W173" t="s">
        <v>409</v>
      </c>
      <c r="X173" t="s">
        <v>233</v>
      </c>
      <c r="Y173" t="s">
        <v>35</v>
      </c>
      <c r="Z173" t="s">
        <v>24</v>
      </c>
      <c r="AA173" t="s">
        <v>25</v>
      </c>
      <c r="AB173">
        <v>22</v>
      </c>
      <c r="AC173" t="s">
        <v>26</v>
      </c>
      <c r="AD173" t="s">
        <v>39</v>
      </c>
      <c r="AE173" t="s">
        <v>410</v>
      </c>
      <c r="AF173">
        <v>4</v>
      </c>
      <c r="AG173">
        <v>0</v>
      </c>
      <c r="AH173" s="1">
        <v>42649</v>
      </c>
      <c r="AI173">
        <v>0</v>
      </c>
      <c r="AJ173">
        <v>15</v>
      </c>
    </row>
    <row r="174" spans="1:36">
      <c r="A174" t="s">
        <v>780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42</v>
      </c>
      <c r="N174" t="s">
        <v>16</v>
      </c>
      <c r="O174">
        <v>2324</v>
      </c>
      <c r="P174" t="s">
        <v>411</v>
      </c>
      <c r="Q174" t="s">
        <v>44</v>
      </c>
      <c r="R174" t="s">
        <v>18</v>
      </c>
      <c r="S174" t="s">
        <v>19</v>
      </c>
      <c r="T174" t="s">
        <v>20</v>
      </c>
      <c r="U174" t="s">
        <v>71</v>
      </c>
      <c r="V174" t="s">
        <v>114</v>
      </c>
      <c r="X174" t="s">
        <v>22</v>
      </c>
      <c r="Y174" t="s">
        <v>23</v>
      </c>
      <c r="Z174" t="s">
        <v>24</v>
      </c>
      <c r="AA174" t="s">
        <v>51</v>
      </c>
      <c r="AB174">
        <v>16</v>
      </c>
      <c r="AC174" t="s">
        <v>38</v>
      </c>
      <c r="AD174" t="s">
        <v>27</v>
      </c>
      <c r="AE174" t="s">
        <v>82</v>
      </c>
      <c r="AF174">
        <v>4</v>
      </c>
      <c r="AG174">
        <v>0</v>
      </c>
      <c r="AH174" s="1">
        <v>43801</v>
      </c>
      <c r="AI174">
        <v>0</v>
      </c>
      <c r="AJ174">
        <v>19</v>
      </c>
    </row>
    <row r="175" spans="1:36">
      <c r="A175" t="s">
        <v>781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15</v>
      </c>
      <c r="N175" t="s">
        <v>16</v>
      </c>
      <c r="O175">
        <v>2122</v>
      </c>
      <c r="P175" t="s">
        <v>412</v>
      </c>
      <c r="Q175" t="s">
        <v>44</v>
      </c>
      <c r="R175" t="s">
        <v>31</v>
      </c>
      <c r="S175" t="s">
        <v>19</v>
      </c>
      <c r="T175" t="s">
        <v>20</v>
      </c>
      <c r="U175" t="s">
        <v>71</v>
      </c>
      <c r="V175" t="s">
        <v>130</v>
      </c>
      <c r="X175" t="s">
        <v>22</v>
      </c>
      <c r="Y175" t="s">
        <v>23</v>
      </c>
      <c r="Z175" t="s">
        <v>24</v>
      </c>
      <c r="AA175" t="s">
        <v>51</v>
      </c>
      <c r="AB175">
        <v>16</v>
      </c>
      <c r="AC175" t="s">
        <v>244</v>
      </c>
      <c r="AD175" t="s">
        <v>39</v>
      </c>
      <c r="AE175" t="s">
        <v>57</v>
      </c>
      <c r="AF175">
        <v>3</v>
      </c>
      <c r="AG175">
        <v>0</v>
      </c>
      <c r="AH175" t="s">
        <v>240</v>
      </c>
      <c r="AI175">
        <v>0</v>
      </c>
      <c r="AJ175">
        <v>6</v>
      </c>
    </row>
    <row r="176" spans="1:36">
      <c r="A176" t="s">
        <v>782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15</v>
      </c>
      <c r="N176" t="s">
        <v>16</v>
      </c>
      <c r="O176">
        <v>1844</v>
      </c>
      <c r="P176" t="s">
        <v>413</v>
      </c>
      <c r="Q176" t="s">
        <v>44</v>
      </c>
      <c r="R176" t="s">
        <v>18</v>
      </c>
      <c r="S176" t="s">
        <v>19</v>
      </c>
      <c r="T176" t="s">
        <v>79</v>
      </c>
      <c r="U176" t="s">
        <v>71</v>
      </c>
      <c r="V176" s="1">
        <v>40735</v>
      </c>
      <c r="W176" t="s">
        <v>414</v>
      </c>
      <c r="X176" t="s">
        <v>80</v>
      </c>
      <c r="Y176" t="s">
        <v>35</v>
      </c>
      <c r="Z176" t="s">
        <v>24</v>
      </c>
      <c r="AA176" t="s">
        <v>55</v>
      </c>
      <c r="AB176">
        <v>39</v>
      </c>
      <c r="AC176" t="s">
        <v>73</v>
      </c>
      <c r="AD176" t="s">
        <v>27</v>
      </c>
      <c r="AE176" t="s">
        <v>57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>
      <c r="A177" t="s">
        <v>783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15</v>
      </c>
      <c r="N177" t="s">
        <v>16</v>
      </c>
      <c r="O177">
        <v>1938</v>
      </c>
      <c r="P177" s="1">
        <v>26553</v>
      </c>
      <c r="Q177" t="s">
        <v>17</v>
      </c>
      <c r="R177" t="s">
        <v>66</v>
      </c>
      <c r="S177" t="s">
        <v>19</v>
      </c>
      <c r="T177" t="s">
        <v>20</v>
      </c>
      <c r="U177" t="s">
        <v>21</v>
      </c>
      <c r="V177" t="s">
        <v>45</v>
      </c>
      <c r="W177" t="s">
        <v>415</v>
      </c>
      <c r="X177" t="s">
        <v>46</v>
      </c>
      <c r="Y177" t="s">
        <v>35</v>
      </c>
      <c r="Z177" t="s">
        <v>24</v>
      </c>
      <c r="AA177" t="s">
        <v>59</v>
      </c>
      <c r="AB177">
        <v>11</v>
      </c>
      <c r="AC177" t="s">
        <v>38</v>
      </c>
      <c r="AD177" t="s">
        <v>39</v>
      </c>
      <c r="AE177" t="s">
        <v>416</v>
      </c>
      <c r="AF177">
        <v>4</v>
      </c>
      <c r="AG177">
        <v>0</v>
      </c>
      <c r="AH177" s="1">
        <v>42739</v>
      </c>
      <c r="AI177">
        <v>0</v>
      </c>
      <c r="AJ177">
        <v>18</v>
      </c>
    </row>
    <row r="178" spans="1:36">
      <c r="A178" t="s">
        <v>784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15</v>
      </c>
      <c r="N178" t="s">
        <v>16</v>
      </c>
      <c r="O178">
        <v>2189</v>
      </c>
      <c r="P178" s="1">
        <v>31600</v>
      </c>
      <c r="Q178" t="s">
        <v>44</v>
      </c>
      <c r="R178" t="s">
        <v>18</v>
      </c>
      <c r="S178" t="s">
        <v>19</v>
      </c>
      <c r="T178" t="s">
        <v>20</v>
      </c>
      <c r="U178" t="s">
        <v>21</v>
      </c>
      <c r="V178" s="1">
        <v>41791</v>
      </c>
      <c r="X178" t="s">
        <v>22</v>
      </c>
      <c r="Y178" t="s">
        <v>23</v>
      </c>
      <c r="Z178" t="s">
        <v>24</v>
      </c>
      <c r="AA178" t="s">
        <v>68</v>
      </c>
      <c r="AB178">
        <v>19</v>
      </c>
      <c r="AC178" t="s">
        <v>26</v>
      </c>
      <c r="AD178" t="s">
        <v>39</v>
      </c>
      <c r="AE178" t="s">
        <v>28</v>
      </c>
      <c r="AF178">
        <v>4</v>
      </c>
      <c r="AG178">
        <v>0</v>
      </c>
      <c r="AH178" t="s">
        <v>298</v>
      </c>
      <c r="AI178">
        <v>0</v>
      </c>
      <c r="AJ178">
        <v>14</v>
      </c>
    </row>
    <row r="179" spans="1:36">
      <c r="A179" t="s">
        <v>785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42</v>
      </c>
      <c r="N179" t="s">
        <v>16</v>
      </c>
      <c r="O179">
        <v>2324</v>
      </c>
      <c r="P179" t="s">
        <v>417</v>
      </c>
      <c r="Q179" t="s">
        <v>44</v>
      </c>
      <c r="R179" t="s">
        <v>31</v>
      </c>
      <c r="S179" t="s">
        <v>19</v>
      </c>
      <c r="T179" t="s">
        <v>20</v>
      </c>
      <c r="U179" t="s">
        <v>21</v>
      </c>
      <c r="V179" s="1">
        <v>42679</v>
      </c>
      <c r="X179" t="s">
        <v>22</v>
      </c>
      <c r="Y179" t="s">
        <v>23</v>
      </c>
      <c r="Z179" t="s">
        <v>24</v>
      </c>
      <c r="AA179" t="s">
        <v>55</v>
      </c>
      <c r="AC179" t="s">
        <v>26</v>
      </c>
      <c r="AD179" t="s">
        <v>39</v>
      </c>
      <c r="AE179" t="s">
        <v>57</v>
      </c>
      <c r="AF179">
        <v>3</v>
      </c>
      <c r="AG179">
        <v>0</v>
      </c>
      <c r="AH179" t="s">
        <v>150</v>
      </c>
      <c r="AI179">
        <v>0</v>
      </c>
      <c r="AJ179">
        <v>4</v>
      </c>
    </row>
    <row r="180" spans="1:36">
      <c r="A180" t="s">
        <v>786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42</v>
      </c>
      <c r="N180" t="s">
        <v>16</v>
      </c>
      <c r="O180">
        <v>2176</v>
      </c>
      <c r="P180" s="1">
        <v>31697</v>
      </c>
      <c r="Q180" t="s">
        <v>44</v>
      </c>
      <c r="R180" t="s">
        <v>31</v>
      </c>
      <c r="S180" t="s">
        <v>19</v>
      </c>
      <c r="T180" t="s">
        <v>20</v>
      </c>
      <c r="U180" t="s">
        <v>91</v>
      </c>
      <c r="V180" s="1">
        <v>40670</v>
      </c>
      <c r="W180" t="s">
        <v>418</v>
      </c>
      <c r="X180" t="s">
        <v>80</v>
      </c>
      <c r="Y180" t="s">
        <v>35</v>
      </c>
      <c r="Z180" t="s">
        <v>24</v>
      </c>
      <c r="AA180" t="s">
        <v>59</v>
      </c>
      <c r="AB180">
        <v>11</v>
      </c>
      <c r="AC180" t="s">
        <v>26</v>
      </c>
      <c r="AD180" t="s">
        <v>39</v>
      </c>
      <c r="AE180" t="s">
        <v>57</v>
      </c>
      <c r="AF180">
        <v>4</v>
      </c>
      <c r="AG180">
        <v>0</v>
      </c>
      <c r="AH180" s="1">
        <v>40946</v>
      </c>
      <c r="AI180">
        <v>0</v>
      </c>
      <c r="AJ180">
        <v>16</v>
      </c>
    </row>
    <row r="181" spans="1:36">
      <c r="A181" t="s">
        <v>787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15</v>
      </c>
      <c r="N181" t="s">
        <v>16</v>
      </c>
      <c r="O181">
        <v>2451</v>
      </c>
      <c r="P181" s="1">
        <v>27221</v>
      </c>
      <c r="Q181" t="s">
        <v>44</v>
      </c>
      <c r="R181" t="s">
        <v>31</v>
      </c>
      <c r="S181" t="s">
        <v>19</v>
      </c>
      <c r="T181" t="s">
        <v>20</v>
      </c>
      <c r="U181" t="s">
        <v>21</v>
      </c>
      <c r="V181" s="1">
        <v>41589</v>
      </c>
      <c r="X181" t="s">
        <v>22</v>
      </c>
      <c r="Y181" t="s">
        <v>23</v>
      </c>
      <c r="Z181" t="s">
        <v>24</v>
      </c>
      <c r="AA181" t="s">
        <v>72</v>
      </c>
      <c r="AB181">
        <v>12</v>
      </c>
      <c r="AC181" t="s">
        <v>26</v>
      </c>
      <c r="AD181" t="s">
        <v>39</v>
      </c>
      <c r="AE181" t="s">
        <v>199</v>
      </c>
      <c r="AF181">
        <v>3</v>
      </c>
      <c r="AG181">
        <v>0</v>
      </c>
      <c r="AH181" t="s">
        <v>211</v>
      </c>
      <c r="AI181">
        <v>0</v>
      </c>
      <c r="AJ181">
        <v>11</v>
      </c>
    </row>
    <row r="182" spans="1:36">
      <c r="A182" t="s">
        <v>788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60</v>
      </c>
      <c r="N182" t="s">
        <v>16</v>
      </c>
      <c r="O182">
        <v>2135</v>
      </c>
      <c r="P182" s="1">
        <v>31969</v>
      </c>
      <c r="Q182" t="s">
        <v>44</v>
      </c>
      <c r="R182" t="s">
        <v>18</v>
      </c>
      <c r="S182" t="s">
        <v>19</v>
      </c>
      <c r="T182" t="s">
        <v>20</v>
      </c>
      <c r="U182" t="s">
        <v>111</v>
      </c>
      <c r="V182" s="1">
        <v>41589</v>
      </c>
      <c r="X182" t="s">
        <v>22</v>
      </c>
      <c r="Y182" t="s">
        <v>23</v>
      </c>
      <c r="Z182" t="s">
        <v>62</v>
      </c>
      <c r="AA182" t="s">
        <v>63</v>
      </c>
      <c r="AB182">
        <v>10</v>
      </c>
      <c r="AC182" t="s">
        <v>56</v>
      </c>
      <c r="AD182" t="s">
        <v>39</v>
      </c>
      <c r="AE182" t="s">
        <v>109</v>
      </c>
      <c r="AF182">
        <v>5</v>
      </c>
      <c r="AG182">
        <v>4</v>
      </c>
      <c r="AH182" t="s">
        <v>104</v>
      </c>
      <c r="AI182">
        <v>0</v>
      </c>
      <c r="AJ182">
        <v>14</v>
      </c>
    </row>
    <row r="183" spans="1:36">
      <c r="A183" t="s">
        <v>789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15</v>
      </c>
      <c r="N183" t="s">
        <v>16</v>
      </c>
      <c r="O183">
        <v>2330</v>
      </c>
      <c r="P183" t="s">
        <v>419</v>
      </c>
      <c r="Q183" t="s">
        <v>44</v>
      </c>
      <c r="R183" t="s">
        <v>31</v>
      </c>
      <c r="S183" t="s">
        <v>19</v>
      </c>
      <c r="T183" t="s">
        <v>20</v>
      </c>
      <c r="U183" t="s">
        <v>21</v>
      </c>
      <c r="V183" t="s">
        <v>420</v>
      </c>
      <c r="X183" t="s">
        <v>22</v>
      </c>
      <c r="Y183" t="s">
        <v>23</v>
      </c>
      <c r="Z183" t="s">
        <v>24</v>
      </c>
      <c r="AA183" t="s">
        <v>81</v>
      </c>
      <c r="AB183">
        <v>14</v>
      </c>
      <c r="AC183" t="s">
        <v>38</v>
      </c>
      <c r="AD183" t="s">
        <v>39</v>
      </c>
      <c r="AE183" t="s">
        <v>57</v>
      </c>
      <c r="AF183">
        <v>4</v>
      </c>
      <c r="AG183">
        <v>0</v>
      </c>
      <c r="AH183" s="1">
        <v>43739</v>
      </c>
      <c r="AI183">
        <v>0</v>
      </c>
      <c r="AJ183">
        <v>8</v>
      </c>
    </row>
    <row r="184" spans="1:36">
      <c r="A184" t="s">
        <v>790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42</v>
      </c>
      <c r="N184" t="s">
        <v>16</v>
      </c>
      <c r="O184">
        <v>2149</v>
      </c>
      <c r="P184" t="s">
        <v>421</v>
      </c>
      <c r="Q184" t="s">
        <v>44</v>
      </c>
      <c r="R184" t="s">
        <v>18</v>
      </c>
      <c r="S184" t="s">
        <v>19</v>
      </c>
      <c r="T184" t="s">
        <v>20</v>
      </c>
      <c r="U184" t="s">
        <v>71</v>
      </c>
      <c r="V184" t="s">
        <v>32</v>
      </c>
      <c r="X184" t="s">
        <v>22</v>
      </c>
      <c r="Y184" t="s">
        <v>23</v>
      </c>
      <c r="Z184" t="s">
        <v>24</v>
      </c>
      <c r="AA184" t="s">
        <v>68</v>
      </c>
      <c r="AB184">
        <v>19</v>
      </c>
      <c r="AC184" t="s">
        <v>26</v>
      </c>
      <c r="AD184" t="s">
        <v>39</v>
      </c>
      <c r="AE184" t="s">
        <v>57</v>
      </c>
      <c r="AF184">
        <v>5</v>
      </c>
      <c r="AG184">
        <v>0</v>
      </c>
      <c r="AH184" s="1">
        <v>43648</v>
      </c>
      <c r="AI184">
        <v>0</v>
      </c>
      <c r="AJ184">
        <v>16</v>
      </c>
    </row>
    <row r="185" spans="1:36">
      <c r="A185" t="s">
        <v>791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15</v>
      </c>
      <c r="N185" t="s">
        <v>16</v>
      </c>
      <c r="O185">
        <v>2184</v>
      </c>
      <c r="P185" s="1">
        <v>31959</v>
      </c>
      <c r="Q185" t="s">
        <v>44</v>
      </c>
      <c r="R185" t="s">
        <v>31</v>
      </c>
      <c r="S185" t="s">
        <v>19</v>
      </c>
      <c r="T185" t="s">
        <v>20</v>
      </c>
      <c r="U185" t="s">
        <v>71</v>
      </c>
      <c r="V185" s="1">
        <v>41456</v>
      </c>
      <c r="X185" t="s">
        <v>22</v>
      </c>
      <c r="Y185" t="s">
        <v>23</v>
      </c>
      <c r="Z185" t="s">
        <v>24</v>
      </c>
      <c r="AA185" t="s">
        <v>47</v>
      </c>
      <c r="AB185">
        <v>20</v>
      </c>
      <c r="AC185" t="s">
        <v>117</v>
      </c>
      <c r="AD185" t="s">
        <v>39</v>
      </c>
      <c r="AE185" t="s">
        <v>422</v>
      </c>
      <c r="AF185">
        <v>3</v>
      </c>
      <c r="AG185">
        <v>0</v>
      </c>
      <c r="AH185" t="s">
        <v>167</v>
      </c>
      <c r="AI185">
        <v>0</v>
      </c>
      <c r="AJ185">
        <v>20</v>
      </c>
    </row>
    <row r="186" spans="1:36">
      <c r="A186" t="s">
        <v>792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151</v>
      </c>
      <c r="N186" t="s">
        <v>88</v>
      </c>
      <c r="O186">
        <v>78789</v>
      </c>
      <c r="P186" s="1">
        <v>30688</v>
      </c>
      <c r="Q186" t="s">
        <v>17</v>
      </c>
      <c r="R186" t="s">
        <v>31</v>
      </c>
      <c r="S186" t="s">
        <v>19</v>
      </c>
      <c r="T186" t="s">
        <v>20</v>
      </c>
      <c r="U186" t="s">
        <v>91</v>
      </c>
      <c r="V186" s="1">
        <v>42528</v>
      </c>
      <c r="X186" t="s">
        <v>22</v>
      </c>
      <c r="Y186" t="s">
        <v>23</v>
      </c>
      <c r="Z186" t="s">
        <v>154</v>
      </c>
      <c r="AA186" t="s">
        <v>180</v>
      </c>
      <c r="AB186">
        <v>21</v>
      </c>
      <c r="AC186" t="s">
        <v>244</v>
      </c>
      <c r="AD186" t="s">
        <v>39</v>
      </c>
      <c r="AE186" t="s">
        <v>249</v>
      </c>
      <c r="AF186">
        <v>4</v>
      </c>
      <c r="AG186">
        <v>0</v>
      </c>
      <c r="AH186" t="s">
        <v>246</v>
      </c>
      <c r="AI186">
        <v>0</v>
      </c>
      <c r="AJ186">
        <v>7</v>
      </c>
    </row>
    <row r="187" spans="1:36">
      <c r="A187" t="s">
        <v>793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15</v>
      </c>
      <c r="N187" t="s">
        <v>16</v>
      </c>
      <c r="O187">
        <v>1760</v>
      </c>
      <c r="P187" t="s">
        <v>423</v>
      </c>
      <c r="Q187" t="s">
        <v>44</v>
      </c>
      <c r="R187" t="s">
        <v>18</v>
      </c>
      <c r="S187" t="s">
        <v>19</v>
      </c>
      <c r="T187" t="s">
        <v>20</v>
      </c>
      <c r="U187" t="s">
        <v>71</v>
      </c>
      <c r="V187" s="1">
        <v>40943</v>
      </c>
      <c r="W187" s="1">
        <v>42685</v>
      </c>
      <c r="X187" t="s">
        <v>80</v>
      </c>
      <c r="Y187" t="s">
        <v>35</v>
      </c>
      <c r="Z187" t="s">
        <v>24</v>
      </c>
      <c r="AA187" t="s">
        <v>93</v>
      </c>
      <c r="AB187">
        <v>18</v>
      </c>
      <c r="AC187" t="s">
        <v>73</v>
      </c>
      <c r="AD187" t="s">
        <v>39</v>
      </c>
      <c r="AE187" t="s">
        <v>424</v>
      </c>
      <c r="AF187">
        <v>4</v>
      </c>
      <c r="AG187">
        <v>0</v>
      </c>
      <c r="AH187" s="1">
        <v>42492</v>
      </c>
      <c r="AI187">
        <v>0</v>
      </c>
      <c r="AJ187">
        <v>17</v>
      </c>
    </row>
    <row r="188" spans="1:36">
      <c r="A188" t="s">
        <v>794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15</v>
      </c>
      <c r="N188" t="s">
        <v>16</v>
      </c>
      <c r="O188">
        <v>2346</v>
      </c>
      <c r="P188" t="s">
        <v>355</v>
      </c>
      <c r="Q188" t="s">
        <v>44</v>
      </c>
      <c r="R188" t="s">
        <v>18</v>
      </c>
      <c r="S188" t="s">
        <v>19</v>
      </c>
      <c r="T188" t="s">
        <v>20</v>
      </c>
      <c r="U188" t="s">
        <v>21</v>
      </c>
      <c r="V188" t="s">
        <v>32</v>
      </c>
      <c r="X188" t="s">
        <v>22</v>
      </c>
      <c r="Y188" t="s">
        <v>23</v>
      </c>
      <c r="Z188" t="s">
        <v>24</v>
      </c>
      <c r="AA188" t="s">
        <v>25</v>
      </c>
      <c r="AB188">
        <v>22</v>
      </c>
      <c r="AC188" t="s">
        <v>117</v>
      </c>
      <c r="AD188" t="s">
        <v>39</v>
      </c>
      <c r="AE188" t="s">
        <v>57</v>
      </c>
      <c r="AF188">
        <v>4</v>
      </c>
      <c r="AG188">
        <v>0</v>
      </c>
      <c r="AH188" t="s">
        <v>150</v>
      </c>
      <c r="AI188">
        <v>0</v>
      </c>
      <c r="AJ188">
        <v>10</v>
      </c>
    </row>
    <row r="189" spans="1:36">
      <c r="A189" t="s">
        <v>795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133</v>
      </c>
      <c r="N189" t="s">
        <v>16</v>
      </c>
      <c r="O189">
        <v>2045</v>
      </c>
      <c r="P189" s="1">
        <v>29867</v>
      </c>
      <c r="Q189" t="s">
        <v>17</v>
      </c>
      <c r="R189" t="s">
        <v>18</v>
      </c>
      <c r="S189" t="s">
        <v>19</v>
      </c>
      <c r="T189" t="s">
        <v>425</v>
      </c>
      <c r="U189" t="s">
        <v>426</v>
      </c>
      <c r="V189" t="s">
        <v>427</v>
      </c>
      <c r="X189" t="s">
        <v>22</v>
      </c>
      <c r="Y189" t="s">
        <v>23</v>
      </c>
      <c r="Z189" t="s">
        <v>24</v>
      </c>
      <c r="AA189" t="s">
        <v>135</v>
      </c>
      <c r="AB189">
        <v>2</v>
      </c>
      <c r="AC189" t="s">
        <v>38</v>
      </c>
      <c r="AD189" t="s">
        <v>39</v>
      </c>
      <c r="AE189" t="s">
        <v>428</v>
      </c>
      <c r="AF189">
        <v>3</v>
      </c>
      <c r="AG189">
        <v>0</v>
      </c>
      <c r="AH189" t="s">
        <v>104</v>
      </c>
      <c r="AI189">
        <v>0</v>
      </c>
      <c r="AJ189">
        <v>2</v>
      </c>
    </row>
    <row r="190" spans="1:36">
      <c r="A190" t="s">
        <v>796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42</v>
      </c>
      <c r="N190" t="s">
        <v>16</v>
      </c>
      <c r="O190">
        <v>2472</v>
      </c>
      <c r="P190" t="s">
        <v>429</v>
      </c>
      <c r="Q190" t="s">
        <v>17</v>
      </c>
      <c r="R190" t="s">
        <v>18</v>
      </c>
      <c r="S190" t="s">
        <v>19</v>
      </c>
      <c r="T190" t="s">
        <v>20</v>
      </c>
      <c r="U190" t="s">
        <v>21</v>
      </c>
      <c r="V190" t="s">
        <v>153</v>
      </c>
      <c r="W190" s="1">
        <v>41738</v>
      </c>
      <c r="X190" t="s">
        <v>86</v>
      </c>
      <c r="Y190" t="s">
        <v>35</v>
      </c>
      <c r="Z190" t="s">
        <v>24</v>
      </c>
      <c r="AA190" t="s">
        <v>72</v>
      </c>
      <c r="AB190">
        <v>12</v>
      </c>
      <c r="AC190" t="s">
        <v>26</v>
      </c>
      <c r="AD190" t="s">
        <v>230</v>
      </c>
      <c r="AE190" t="s">
        <v>181</v>
      </c>
      <c r="AF190">
        <v>2</v>
      </c>
      <c r="AG190">
        <v>0</v>
      </c>
      <c r="AH190" t="s">
        <v>430</v>
      </c>
      <c r="AI190">
        <v>6</v>
      </c>
      <c r="AJ190">
        <v>6</v>
      </c>
    </row>
    <row r="191" spans="1:36">
      <c r="A191" t="s">
        <v>797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42</v>
      </c>
      <c r="N191" t="s">
        <v>16</v>
      </c>
      <c r="O191">
        <v>1450</v>
      </c>
      <c r="P191" t="s">
        <v>431</v>
      </c>
      <c r="Q191" t="s">
        <v>17</v>
      </c>
      <c r="R191" t="s">
        <v>31</v>
      </c>
      <c r="S191" t="s">
        <v>19</v>
      </c>
      <c r="T191" t="s">
        <v>20</v>
      </c>
      <c r="U191" t="s">
        <v>21</v>
      </c>
      <c r="V191" s="1">
        <v>40735</v>
      </c>
      <c r="X191" t="s">
        <v>22</v>
      </c>
      <c r="Y191" t="s">
        <v>23</v>
      </c>
      <c r="Z191" t="s">
        <v>24</v>
      </c>
      <c r="AA191" t="s">
        <v>81</v>
      </c>
      <c r="AB191">
        <v>14</v>
      </c>
      <c r="AC191" t="s">
        <v>26</v>
      </c>
      <c r="AD191" t="s">
        <v>39</v>
      </c>
      <c r="AE191" t="s">
        <v>207</v>
      </c>
      <c r="AF191">
        <v>3</v>
      </c>
      <c r="AG191">
        <v>0</v>
      </c>
      <c r="AH191" s="1">
        <v>43678</v>
      </c>
      <c r="AI191">
        <v>0</v>
      </c>
      <c r="AJ191">
        <v>14</v>
      </c>
    </row>
    <row r="192" spans="1:36">
      <c r="A192" t="s">
        <v>798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432</v>
      </c>
      <c r="N192" t="s">
        <v>16</v>
      </c>
      <c r="O192">
        <v>2134</v>
      </c>
      <c r="P192" s="1">
        <v>31542</v>
      </c>
      <c r="Q192" t="s">
        <v>17</v>
      </c>
      <c r="R192" t="s">
        <v>31</v>
      </c>
      <c r="S192" t="s">
        <v>106</v>
      </c>
      <c r="T192" t="s">
        <v>79</v>
      </c>
      <c r="U192" t="s">
        <v>71</v>
      </c>
      <c r="V192" t="s">
        <v>433</v>
      </c>
      <c r="X192" t="s">
        <v>22</v>
      </c>
      <c r="Y192" t="s">
        <v>23</v>
      </c>
      <c r="Z192" t="s">
        <v>36</v>
      </c>
      <c r="AA192" t="s">
        <v>163</v>
      </c>
      <c r="AB192">
        <v>5</v>
      </c>
      <c r="AC192" t="s">
        <v>73</v>
      </c>
      <c r="AD192" t="s">
        <v>118</v>
      </c>
      <c r="AE192" t="s">
        <v>434</v>
      </c>
      <c r="AF192">
        <v>3</v>
      </c>
      <c r="AG192">
        <v>6</v>
      </c>
      <c r="AH192" t="s">
        <v>166</v>
      </c>
      <c r="AI192">
        <v>4</v>
      </c>
      <c r="AJ192">
        <v>13</v>
      </c>
    </row>
    <row r="193" spans="1:36">
      <c r="A193" t="s">
        <v>799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42</v>
      </c>
      <c r="N193" t="s">
        <v>16</v>
      </c>
      <c r="O193">
        <v>2126</v>
      </c>
      <c r="P193" t="s">
        <v>435</v>
      </c>
      <c r="Q193" t="s">
        <v>44</v>
      </c>
      <c r="R193" t="s">
        <v>18</v>
      </c>
      <c r="S193" t="s">
        <v>19</v>
      </c>
      <c r="T193" t="s">
        <v>20</v>
      </c>
      <c r="U193" t="s">
        <v>71</v>
      </c>
      <c r="V193" t="s">
        <v>436</v>
      </c>
      <c r="X193" t="s">
        <v>22</v>
      </c>
      <c r="Y193" t="s">
        <v>23</v>
      </c>
      <c r="Z193" t="s">
        <v>24</v>
      </c>
      <c r="AA193" t="s">
        <v>47</v>
      </c>
      <c r="AB193">
        <v>20</v>
      </c>
      <c r="AC193" t="s">
        <v>38</v>
      </c>
      <c r="AD193" t="s">
        <v>27</v>
      </c>
      <c r="AE193" t="s">
        <v>192</v>
      </c>
      <c r="AF193">
        <v>3</v>
      </c>
      <c r="AG193">
        <v>0</v>
      </c>
      <c r="AH193" t="s">
        <v>104</v>
      </c>
      <c r="AI193">
        <v>0</v>
      </c>
      <c r="AJ193">
        <v>1</v>
      </c>
    </row>
    <row r="194" spans="1:36">
      <c r="A194" t="s">
        <v>800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42</v>
      </c>
      <c r="N194" t="s">
        <v>16</v>
      </c>
      <c r="O194">
        <v>2127</v>
      </c>
      <c r="P194" s="1">
        <v>27831</v>
      </c>
      <c r="Q194" t="s">
        <v>17</v>
      </c>
      <c r="R194" t="s">
        <v>18</v>
      </c>
      <c r="S194" t="s">
        <v>19</v>
      </c>
      <c r="T194" t="s">
        <v>20</v>
      </c>
      <c r="U194" t="s">
        <v>71</v>
      </c>
      <c r="V194" s="1">
        <v>41153</v>
      </c>
      <c r="X194" t="s">
        <v>22</v>
      </c>
      <c r="Y194" t="s">
        <v>23</v>
      </c>
      <c r="Z194" t="s">
        <v>24</v>
      </c>
      <c r="AA194" t="s">
        <v>93</v>
      </c>
      <c r="AB194">
        <v>18</v>
      </c>
      <c r="AC194" t="s">
        <v>73</v>
      </c>
      <c r="AD194" t="s">
        <v>39</v>
      </c>
      <c r="AE194" t="s">
        <v>199</v>
      </c>
      <c r="AF194">
        <v>4</v>
      </c>
      <c r="AG194">
        <v>0</v>
      </c>
      <c r="AH194" t="s">
        <v>226</v>
      </c>
      <c r="AI194">
        <v>0</v>
      </c>
      <c r="AJ194">
        <v>12</v>
      </c>
    </row>
    <row r="195" spans="1:36">
      <c r="A195" t="s">
        <v>801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281</v>
      </c>
      <c r="N195" t="s">
        <v>16</v>
      </c>
      <c r="O195">
        <v>2048</v>
      </c>
      <c r="P195" s="1">
        <v>28949</v>
      </c>
      <c r="Q195" t="s">
        <v>44</v>
      </c>
      <c r="R195" t="s">
        <v>31</v>
      </c>
      <c r="S195" t="s">
        <v>19</v>
      </c>
      <c r="T195" t="s">
        <v>20</v>
      </c>
      <c r="U195" t="s">
        <v>21</v>
      </c>
      <c r="V195" t="s">
        <v>130</v>
      </c>
      <c r="X195" t="s">
        <v>22</v>
      </c>
      <c r="Y195" t="s">
        <v>23</v>
      </c>
      <c r="Z195" t="s">
        <v>36</v>
      </c>
      <c r="AA195" t="s">
        <v>77</v>
      </c>
      <c r="AB195">
        <v>7</v>
      </c>
      <c r="AC195" t="s">
        <v>117</v>
      </c>
      <c r="AD195" t="s">
        <v>39</v>
      </c>
      <c r="AE195" t="s">
        <v>437</v>
      </c>
      <c r="AF195">
        <v>3</v>
      </c>
      <c r="AG195">
        <v>6</v>
      </c>
      <c r="AH195" s="1">
        <v>43771</v>
      </c>
      <c r="AI195">
        <v>0</v>
      </c>
      <c r="AJ195">
        <v>6</v>
      </c>
    </row>
    <row r="196" spans="1:36">
      <c r="A196" t="s">
        <v>802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15</v>
      </c>
      <c r="N196" t="s">
        <v>16</v>
      </c>
      <c r="O196">
        <v>2453</v>
      </c>
      <c r="P196" s="1">
        <v>30870</v>
      </c>
      <c r="Q196" t="s">
        <v>44</v>
      </c>
      <c r="R196" t="s">
        <v>53</v>
      </c>
      <c r="S196" t="s">
        <v>19</v>
      </c>
      <c r="T196" t="s">
        <v>20</v>
      </c>
      <c r="U196" t="s">
        <v>21</v>
      </c>
      <c r="V196" s="1">
        <v>41278</v>
      </c>
      <c r="X196" t="s">
        <v>22</v>
      </c>
      <c r="Y196" t="s">
        <v>23</v>
      </c>
      <c r="Z196" t="s">
        <v>24</v>
      </c>
      <c r="AA196" t="s">
        <v>51</v>
      </c>
      <c r="AB196">
        <v>16</v>
      </c>
      <c r="AC196" t="s">
        <v>26</v>
      </c>
      <c r="AD196" t="s">
        <v>39</v>
      </c>
      <c r="AE196" t="s">
        <v>103</v>
      </c>
      <c r="AF196">
        <v>4</v>
      </c>
      <c r="AG196">
        <v>0</v>
      </c>
      <c r="AH196" t="s">
        <v>29</v>
      </c>
      <c r="AI196">
        <v>0</v>
      </c>
      <c r="AJ196">
        <v>18</v>
      </c>
    </row>
    <row r="197" spans="1:36">
      <c r="A197" t="s">
        <v>803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42</v>
      </c>
      <c r="N197" t="s">
        <v>16</v>
      </c>
      <c r="O197">
        <v>1460</v>
      </c>
      <c r="P197" s="1">
        <v>27041</v>
      </c>
      <c r="Q197" t="s">
        <v>17</v>
      </c>
      <c r="R197" t="s">
        <v>149</v>
      </c>
      <c r="S197" t="s">
        <v>19</v>
      </c>
      <c r="T197" t="s">
        <v>20</v>
      </c>
      <c r="U197" t="s">
        <v>71</v>
      </c>
      <c r="V197" t="s">
        <v>436</v>
      </c>
      <c r="X197" t="s">
        <v>22</v>
      </c>
      <c r="Y197" t="s">
        <v>23</v>
      </c>
      <c r="Z197" t="s">
        <v>24</v>
      </c>
      <c r="AA197" t="s">
        <v>25</v>
      </c>
      <c r="AB197">
        <v>22</v>
      </c>
      <c r="AC197" t="s">
        <v>26</v>
      </c>
      <c r="AD197" t="s">
        <v>39</v>
      </c>
      <c r="AE197" t="s">
        <v>438</v>
      </c>
      <c r="AF197">
        <v>5</v>
      </c>
      <c r="AG197">
        <v>0</v>
      </c>
      <c r="AH197" t="s">
        <v>213</v>
      </c>
      <c r="AI197">
        <v>0</v>
      </c>
      <c r="AJ197">
        <v>11</v>
      </c>
    </row>
    <row r="198" spans="1:36">
      <c r="A198" t="s">
        <v>804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15</v>
      </c>
      <c r="N198" t="s">
        <v>16</v>
      </c>
      <c r="O198">
        <v>1550</v>
      </c>
      <c r="P198" t="s">
        <v>439</v>
      </c>
      <c r="Q198" t="s">
        <v>17</v>
      </c>
      <c r="R198" t="s">
        <v>18</v>
      </c>
      <c r="S198" t="s">
        <v>19</v>
      </c>
      <c r="T198" t="s">
        <v>20</v>
      </c>
      <c r="U198" t="s">
        <v>111</v>
      </c>
      <c r="V198" s="1">
        <v>41493</v>
      </c>
      <c r="X198" t="s">
        <v>22</v>
      </c>
      <c r="Y198" t="s">
        <v>23</v>
      </c>
      <c r="Z198" t="s">
        <v>24</v>
      </c>
      <c r="AA198" t="s">
        <v>47</v>
      </c>
      <c r="AB198">
        <v>20</v>
      </c>
      <c r="AC198" t="s">
        <v>26</v>
      </c>
      <c r="AD198" t="s">
        <v>39</v>
      </c>
      <c r="AE198" t="s">
        <v>199</v>
      </c>
      <c r="AF198">
        <v>4</v>
      </c>
      <c r="AG198">
        <v>0</v>
      </c>
      <c r="AH198" t="s">
        <v>211</v>
      </c>
      <c r="AI198">
        <v>0</v>
      </c>
      <c r="AJ198">
        <v>13</v>
      </c>
    </row>
    <row r="199" spans="1:36">
      <c r="A199" t="s">
        <v>805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393</v>
      </c>
      <c r="N199" t="s">
        <v>16</v>
      </c>
      <c r="O199">
        <v>2056</v>
      </c>
      <c r="P199" t="s">
        <v>440</v>
      </c>
      <c r="Q199" t="s">
        <v>17</v>
      </c>
      <c r="R199" t="s">
        <v>18</v>
      </c>
      <c r="S199" t="s">
        <v>19</v>
      </c>
      <c r="T199" t="s">
        <v>20</v>
      </c>
      <c r="U199" t="s">
        <v>111</v>
      </c>
      <c r="V199" s="1">
        <v>43010</v>
      </c>
      <c r="X199" t="s">
        <v>22</v>
      </c>
      <c r="Y199" t="s">
        <v>23</v>
      </c>
      <c r="Z199" t="s">
        <v>36</v>
      </c>
      <c r="AA199" t="s">
        <v>238</v>
      </c>
      <c r="AB199">
        <v>13</v>
      </c>
      <c r="AC199" t="s">
        <v>38</v>
      </c>
      <c r="AD199" t="s">
        <v>39</v>
      </c>
      <c r="AE199" t="s">
        <v>57</v>
      </c>
      <c r="AF199">
        <v>3</v>
      </c>
      <c r="AG199">
        <v>6</v>
      </c>
      <c r="AH199" t="s">
        <v>70</v>
      </c>
      <c r="AI199">
        <v>0</v>
      </c>
      <c r="AJ199">
        <v>17</v>
      </c>
    </row>
    <row r="200" spans="1:36">
      <c r="A200" t="s">
        <v>806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15</v>
      </c>
      <c r="N200" t="s">
        <v>16</v>
      </c>
      <c r="O200">
        <v>2110</v>
      </c>
      <c r="P200" s="1">
        <v>32544</v>
      </c>
      <c r="Q200" t="s">
        <v>17</v>
      </c>
      <c r="R200" t="s">
        <v>18</v>
      </c>
      <c r="S200" t="s">
        <v>19</v>
      </c>
      <c r="T200" t="s">
        <v>20</v>
      </c>
      <c r="U200" t="s">
        <v>71</v>
      </c>
      <c r="V200" t="s">
        <v>197</v>
      </c>
      <c r="W200" s="1">
        <v>41733</v>
      </c>
      <c r="X200" t="s">
        <v>54</v>
      </c>
      <c r="Y200" t="s">
        <v>35</v>
      </c>
      <c r="Z200" t="s">
        <v>24</v>
      </c>
      <c r="AA200" t="s">
        <v>55</v>
      </c>
      <c r="AB200">
        <v>39</v>
      </c>
      <c r="AC200" t="s">
        <v>73</v>
      </c>
      <c r="AD200" t="s">
        <v>39</v>
      </c>
      <c r="AE200" t="s">
        <v>187</v>
      </c>
      <c r="AF200">
        <v>3</v>
      </c>
      <c r="AG200">
        <v>0</v>
      </c>
      <c r="AH200" s="1">
        <v>41308</v>
      </c>
      <c r="AI200">
        <v>0</v>
      </c>
      <c r="AJ200">
        <v>19</v>
      </c>
    </row>
    <row r="201" spans="1:36">
      <c r="A201" t="s">
        <v>807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15</v>
      </c>
      <c r="N201" t="s">
        <v>16</v>
      </c>
      <c r="O201">
        <v>2421</v>
      </c>
      <c r="P201" t="s">
        <v>441</v>
      </c>
      <c r="Q201" t="s">
        <v>17</v>
      </c>
      <c r="R201" t="s">
        <v>31</v>
      </c>
      <c r="S201" t="s">
        <v>19</v>
      </c>
      <c r="T201" t="s">
        <v>20</v>
      </c>
      <c r="U201" t="s">
        <v>21</v>
      </c>
      <c r="V201" s="1">
        <v>41278</v>
      </c>
      <c r="W201" t="s">
        <v>442</v>
      </c>
      <c r="X201" t="s">
        <v>233</v>
      </c>
      <c r="Y201" t="s">
        <v>35</v>
      </c>
      <c r="Z201" t="s">
        <v>24</v>
      </c>
      <c r="AA201" t="s">
        <v>59</v>
      </c>
      <c r="AB201">
        <v>11</v>
      </c>
      <c r="AC201" t="s">
        <v>69</v>
      </c>
      <c r="AD201" t="s">
        <v>39</v>
      </c>
      <c r="AE201" t="s">
        <v>405</v>
      </c>
      <c r="AF201">
        <v>3</v>
      </c>
      <c r="AG201">
        <v>0</v>
      </c>
      <c r="AH201" s="1">
        <v>42524</v>
      </c>
      <c r="AI201">
        <v>0</v>
      </c>
      <c r="AJ201">
        <v>10</v>
      </c>
    </row>
    <row r="202" spans="1:36">
      <c r="A202" t="s">
        <v>808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15</v>
      </c>
      <c r="N202" t="s">
        <v>16</v>
      </c>
      <c r="O202">
        <v>2136</v>
      </c>
      <c r="P202" s="1">
        <v>28341</v>
      </c>
      <c r="Q202" t="s">
        <v>17</v>
      </c>
      <c r="R202" t="s">
        <v>31</v>
      </c>
      <c r="S202" t="s">
        <v>19</v>
      </c>
      <c r="T202" t="s">
        <v>20</v>
      </c>
      <c r="U202" t="s">
        <v>21</v>
      </c>
      <c r="V202" s="1">
        <v>41978</v>
      </c>
      <c r="X202" t="s">
        <v>22</v>
      </c>
      <c r="Y202" t="s">
        <v>23</v>
      </c>
      <c r="Z202" t="s">
        <v>24</v>
      </c>
      <c r="AA202" t="s">
        <v>68</v>
      </c>
      <c r="AB202">
        <v>19</v>
      </c>
      <c r="AC202" t="s">
        <v>26</v>
      </c>
      <c r="AD202" t="s">
        <v>39</v>
      </c>
      <c r="AE202" t="s">
        <v>57</v>
      </c>
      <c r="AF202">
        <v>5</v>
      </c>
      <c r="AG202">
        <v>0</v>
      </c>
      <c r="AH202" t="s">
        <v>78</v>
      </c>
      <c r="AI202">
        <v>0</v>
      </c>
      <c r="AJ202">
        <v>11</v>
      </c>
    </row>
    <row r="203" spans="1:36">
      <c r="A203" t="s">
        <v>809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15</v>
      </c>
      <c r="N203" t="s">
        <v>16</v>
      </c>
      <c r="O203">
        <v>1810</v>
      </c>
      <c r="P203" s="1">
        <v>24537</v>
      </c>
      <c r="Q203" t="s">
        <v>44</v>
      </c>
      <c r="R203" t="s">
        <v>149</v>
      </c>
      <c r="S203" t="s">
        <v>19</v>
      </c>
      <c r="T203" t="s">
        <v>20</v>
      </c>
      <c r="U203" t="s">
        <v>71</v>
      </c>
      <c r="V203" s="1">
        <v>41278</v>
      </c>
      <c r="X203" t="s">
        <v>22</v>
      </c>
      <c r="Y203" t="s">
        <v>23</v>
      </c>
      <c r="Z203" t="s">
        <v>24</v>
      </c>
      <c r="AA203" t="s">
        <v>72</v>
      </c>
      <c r="AB203">
        <v>12</v>
      </c>
      <c r="AC203" t="s">
        <v>73</v>
      </c>
      <c r="AD203" t="s">
        <v>27</v>
      </c>
      <c r="AE203" t="s">
        <v>275</v>
      </c>
      <c r="AF203">
        <v>3</v>
      </c>
      <c r="AG203">
        <v>0</v>
      </c>
      <c r="AH203" t="s">
        <v>264</v>
      </c>
      <c r="AI203">
        <v>0</v>
      </c>
      <c r="AJ203">
        <v>12</v>
      </c>
    </row>
    <row r="204" spans="1:36">
      <c r="A204" t="s">
        <v>810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151</v>
      </c>
      <c r="N204" t="s">
        <v>443</v>
      </c>
      <c r="O204">
        <v>30428</v>
      </c>
      <c r="P204" t="s">
        <v>444</v>
      </c>
      <c r="Q204" t="s">
        <v>44</v>
      </c>
      <c r="R204" t="s">
        <v>18</v>
      </c>
      <c r="S204" t="s">
        <v>19</v>
      </c>
      <c r="T204" t="s">
        <v>20</v>
      </c>
      <c r="U204" t="s">
        <v>91</v>
      </c>
      <c r="V204" s="1">
        <v>41493</v>
      </c>
      <c r="X204" t="s">
        <v>22</v>
      </c>
      <c r="Y204" t="s">
        <v>23</v>
      </c>
      <c r="Z204" t="s">
        <v>154</v>
      </c>
      <c r="AA204" t="s">
        <v>180</v>
      </c>
      <c r="AB204">
        <v>21</v>
      </c>
      <c r="AC204" t="s">
        <v>38</v>
      </c>
      <c r="AD204" t="s">
        <v>39</v>
      </c>
      <c r="AE204" t="s">
        <v>57</v>
      </c>
      <c r="AF204">
        <v>5</v>
      </c>
      <c r="AG204">
        <v>0</v>
      </c>
      <c r="AH204" t="s">
        <v>75</v>
      </c>
      <c r="AI204">
        <v>0</v>
      </c>
      <c r="AJ204">
        <v>2</v>
      </c>
    </row>
    <row r="205" spans="1:36">
      <c r="A205" t="s">
        <v>811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15</v>
      </c>
      <c r="N205" t="s">
        <v>16</v>
      </c>
      <c r="O205">
        <v>2132</v>
      </c>
      <c r="P205" s="1">
        <v>30870</v>
      </c>
      <c r="Q205" t="s">
        <v>44</v>
      </c>
      <c r="R205" t="s">
        <v>18</v>
      </c>
      <c r="S205" t="s">
        <v>19</v>
      </c>
      <c r="T205" t="s">
        <v>20</v>
      </c>
      <c r="U205" t="s">
        <v>21</v>
      </c>
      <c r="V205" s="1">
        <v>41493</v>
      </c>
      <c r="X205" t="s">
        <v>22</v>
      </c>
      <c r="Y205" t="s">
        <v>23</v>
      </c>
      <c r="Z205" t="s">
        <v>24</v>
      </c>
      <c r="AA205" t="s">
        <v>81</v>
      </c>
      <c r="AB205">
        <v>14</v>
      </c>
      <c r="AC205" t="s">
        <v>26</v>
      </c>
      <c r="AD205" t="s">
        <v>39</v>
      </c>
      <c r="AE205" t="s">
        <v>343</v>
      </c>
      <c r="AF205">
        <v>5</v>
      </c>
      <c r="AG205">
        <v>0</v>
      </c>
      <c r="AH205" s="1">
        <v>43497</v>
      </c>
      <c r="AI205">
        <v>0</v>
      </c>
      <c r="AJ205">
        <v>4</v>
      </c>
    </row>
    <row r="206" spans="1:36">
      <c r="A206" t="s">
        <v>812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42</v>
      </c>
      <c r="N206" t="s">
        <v>16</v>
      </c>
      <c r="O206">
        <v>1040</v>
      </c>
      <c r="P206" t="s">
        <v>445</v>
      </c>
      <c r="Q206" t="s">
        <v>44</v>
      </c>
      <c r="R206" t="s">
        <v>18</v>
      </c>
      <c r="S206" t="s">
        <v>19</v>
      </c>
      <c r="T206" t="s">
        <v>20</v>
      </c>
      <c r="U206" t="s">
        <v>21</v>
      </c>
      <c r="V206" s="1">
        <v>41923</v>
      </c>
      <c r="X206" t="s">
        <v>22</v>
      </c>
      <c r="Y206" t="s">
        <v>23</v>
      </c>
      <c r="Z206" t="s">
        <v>24</v>
      </c>
      <c r="AA206" t="s">
        <v>51</v>
      </c>
      <c r="AB206">
        <v>16</v>
      </c>
      <c r="AC206" t="s">
        <v>38</v>
      </c>
      <c r="AD206" t="s">
        <v>39</v>
      </c>
      <c r="AE206" t="s">
        <v>401</v>
      </c>
      <c r="AF206">
        <v>5</v>
      </c>
      <c r="AG206">
        <v>0</v>
      </c>
      <c r="AH206" t="s">
        <v>300</v>
      </c>
      <c r="AI206">
        <v>0</v>
      </c>
      <c r="AJ206">
        <v>5</v>
      </c>
    </row>
    <row r="207" spans="1:36">
      <c r="A207" t="s">
        <v>813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15</v>
      </c>
      <c r="N207" t="s">
        <v>16</v>
      </c>
      <c r="O207">
        <v>2152</v>
      </c>
      <c r="P207" t="s">
        <v>446</v>
      </c>
      <c r="Q207" t="s">
        <v>44</v>
      </c>
      <c r="R207" t="s">
        <v>18</v>
      </c>
      <c r="S207" t="s">
        <v>19</v>
      </c>
      <c r="T207" t="s">
        <v>20</v>
      </c>
      <c r="U207" t="s">
        <v>91</v>
      </c>
      <c r="V207" t="s">
        <v>168</v>
      </c>
      <c r="W207" s="1">
        <v>43105</v>
      </c>
      <c r="X207" t="s">
        <v>108</v>
      </c>
      <c r="Y207" t="s">
        <v>100</v>
      </c>
      <c r="Z207" t="s">
        <v>24</v>
      </c>
      <c r="AA207" t="s">
        <v>47</v>
      </c>
      <c r="AB207">
        <v>20</v>
      </c>
      <c r="AC207" t="s">
        <v>26</v>
      </c>
      <c r="AD207" t="s">
        <v>230</v>
      </c>
      <c r="AE207" t="s">
        <v>447</v>
      </c>
      <c r="AF207">
        <v>2</v>
      </c>
      <c r="AG207">
        <v>0</v>
      </c>
      <c r="AH207" s="1">
        <v>43346</v>
      </c>
      <c r="AI207">
        <v>6</v>
      </c>
      <c r="AJ207">
        <v>3</v>
      </c>
    </row>
    <row r="208" spans="1:36">
      <c r="A208" t="s">
        <v>814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42</v>
      </c>
      <c r="N208" t="s">
        <v>16</v>
      </c>
      <c r="O208">
        <v>2492</v>
      </c>
      <c r="P208" s="1">
        <v>19300</v>
      </c>
      <c r="Q208" t="s">
        <v>44</v>
      </c>
      <c r="R208" t="s">
        <v>31</v>
      </c>
      <c r="S208" t="s">
        <v>19</v>
      </c>
      <c r="T208" t="s">
        <v>20</v>
      </c>
      <c r="U208" t="s">
        <v>111</v>
      </c>
      <c r="V208" t="s">
        <v>179</v>
      </c>
      <c r="W208" t="s">
        <v>114</v>
      </c>
      <c r="X208" t="s">
        <v>86</v>
      </c>
      <c r="Y208" t="s">
        <v>35</v>
      </c>
      <c r="Z208" t="s">
        <v>24</v>
      </c>
      <c r="AA208" t="s">
        <v>55</v>
      </c>
      <c r="AB208">
        <v>39</v>
      </c>
      <c r="AC208" t="s">
        <v>26</v>
      </c>
      <c r="AD208" t="s">
        <v>39</v>
      </c>
      <c r="AE208" t="s">
        <v>57</v>
      </c>
      <c r="AF208">
        <v>3</v>
      </c>
      <c r="AG208">
        <v>0</v>
      </c>
      <c r="AH208" s="1">
        <v>41312</v>
      </c>
      <c r="AI208">
        <v>0</v>
      </c>
      <c r="AJ208">
        <v>17</v>
      </c>
    </row>
    <row r="209" spans="1:36">
      <c r="A209" t="s">
        <v>815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151</v>
      </c>
      <c r="N209" t="s">
        <v>448</v>
      </c>
      <c r="O209">
        <v>33174</v>
      </c>
      <c r="P209" s="1">
        <v>33182</v>
      </c>
      <c r="Q209" t="s">
        <v>44</v>
      </c>
      <c r="R209" t="s">
        <v>18</v>
      </c>
      <c r="S209" t="s">
        <v>19</v>
      </c>
      <c r="T209" t="s">
        <v>79</v>
      </c>
      <c r="U209" t="s">
        <v>21</v>
      </c>
      <c r="V209" t="s">
        <v>67</v>
      </c>
      <c r="X209" t="s">
        <v>22</v>
      </c>
      <c r="Y209" t="s">
        <v>23</v>
      </c>
      <c r="Z209" t="s">
        <v>154</v>
      </c>
      <c r="AA209" t="s">
        <v>180</v>
      </c>
      <c r="AB209">
        <v>21</v>
      </c>
      <c r="AC209" t="s">
        <v>38</v>
      </c>
      <c r="AD209" t="s">
        <v>39</v>
      </c>
      <c r="AE209" t="s">
        <v>89</v>
      </c>
      <c r="AF209">
        <v>3</v>
      </c>
      <c r="AG209">
        <v>0</v>
      </c>
      <c r="AH209" t="s">
        <v>75</v>
      </c>
      <c r="AI209">
        <v>0</v>
      </c>
      <c r="AJ209">
        <v>1</v>
      </c>
    </row>
    <row r="210" spans="1:36">
      <c r="A210" t="s">
        <v>816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15</v>
      </c>
      <c r="N210" t="s">
        <v>16</v>
      </c>
      <c r="O210">
        <v>2478</v>
      </c>
      <c r="P210" s="1">
        <v>28076</v>
      </c>
      <c r="Q210" t="s">
        <v>17</v>
      </c>
      <c r="R210" t="s">
        <v>31</v>
      </c>
      <c r="S210" t="s">
        <v>19</v>
      </c>
      <c r="T210" t="s">
        <v>20</v>
      </c>
      <c r="U210" t="s">
        <v>21</v>
      </c>
      <c r="V210" t="s">
        <v>67</v>
      </c>
      <c r="X210" t="s">
        <v>22</v>
      </c>
      <c r="Y210" t="s">
        <v>23</v>
      </c>
      <c r="Z210" t="s">
        <v>24</v>
      </c>
      <c r="AA210" t="s">
        <v>93</v>
      </c>
      <c r="AB210">
        <v>18</v>
      </c>
      <c r="AC210" t="s">
        <v>26</v>
      </c>
      <c r="AD210" t="s">
        <v>27</v>
      </c>
      <c r="AE210" t="s">
        <v>57</v>
      </c>
      <c r="AF210">
        <v>3</v>
      </c>
      <c r="AG210">
        <v>0</v>
      </c>
      <c r="AH210" s="1">
        <v>43648</v>
      </c>
      <c r="AI210">
        <v>0</v>
      </c>
      <c r="AJ210">
        <v>13</v>
      </c>
    </row>
    <row r="211" spans="1:36">
      <c r="A211" t="s">
        <v>817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15</v>
      </c>
      <c r="N211" t="s">
        <v>16</v>
      </c>
      <c r="O211">
        <v>1760</v>
      </c>
      <c r="P211" t="s">
        <v>449</v>
      </c>
      <c r="Q211" t="s">
        <v>17</v>
      </c>
      <c r="R211" t="s">
        <v>18</v>
      </c>
      <c r="S211" t="s">
        <v>19</v>
      </c>
      <c r="T211" t="s">
        <v>20</v>
      </c>
      <c r="U211" t="s">
        <v>71</v>
      </c>
      <c r="V211" t="s">
        <v>125</v>
      </c>
      <c r="X211" t="s">
        <v>22</v>
      </c>
      <c r="Y211" t="s">
        <v>23</v>
      </c>
      <c r="Z211" t="s">
        <v>24</v>
      </c>
      <c r="AA211" t="s">
        <v>25</v>
      </c>
      <c r="AB211">
        <v>22</v>
      </c>
      <c r="AC211" t="s">
        <v>26</v>
      </c>
      <c r="AD211" t="s">
        <v>118</v>
      </c>
      <c r="AE211" t="s">
        <v>450</v>
      </c>
      <c r="AF211">
        <v>3</v>
      </c>
      <c r="AG211">
        <v>0</v>
      </c>
      <c r="AH211" s="1">
        <v>43557</v>
      </c>
      <c r="AI211">
        <v>4</v>
      </c>
      <c r="AJ211">
        <v>6</v>
      </c>
    </row>
    <row r="212" spans="1:36">
      <c r="A212" t="s">
        <v>818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151</v>
      </c>
      <c r="N212" t="s">
        <v>451</v>
      </c>
      <c r="O212">
        <v>27229</v>
      </c>
      <c r="P212" t="s">
        <v>452</v>
      </c>
      <c r="Q212" t="s">
        <v>17</v>
      </c>
      <c r="R212" t="s">
        <v>18</v>
      </c>
      <c r="S212" t="s">
        <v>19</v>
      </c>
      <c r="T212" t="s">
        <v>20</v>
      </c>
      <c r="U212" t="s">
        <v>21</v>
      </c>
      <c r="V212" s="1">
        <v>42125</v>
      </c>
      <c r="X212" t="s">
        <v>22</v>
      </c>
      <c r="Y212" t="s">
        <v>23</v>
      </c>
      <c r="Z212" t="s">
        <v>154</v>
      </c>
      <c r="AA212" t="s">
        <v>155</v>
      </c>
      <c r="AB212">
        <v>17</v>
      </c>
      <c r="AC212" t="s">
        <v>244</v>
      </c>
      <c r="AD212" t="s">
        <v>39</v>
      </c>
      <c r="AE212" t="s">
        <v>57</v>
      </c>
      <c r="AF212">
        <v>5</v>
      </c>
      <c r="AG212">
        <v>0</v>
      </c>
      <c r="AH212" t="s">
        <v>104</v>
      </c>
      <c r="AI212">
        <v>0</v>
      </c>
      <c r="AJ212">
        <v>18</v>
      </c>
    </row>
    <row r="213" spans="1:36">
      <c r="A213" t="s">
        <v>819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15</v>
      </c>
      <c r="N213" t="s">
        <v>16</v>
      </c>
      <c r="O213">
        <v>2351</v>
      </c>
      <c r="P213" s="1">
        <v>28860</v>
      </c>
      <c r="Q213" t="s">
        <v>44</v>
      </c>
      <c r="R213" t="s">
        <v>31</v>
      </c>
      <c r="S213" t="s">
        <v>19</v>
      </c>
      <c r="T213" t="s">
        <v>20</v>
      </c>
      <c r="U213" t="s">
        <v>21</v>
      </c>
      <c r="V213" s="1">
        <v>40726</v>
      </c>
      <c r="W213" s="1">
        <v>41974</v>
      </c>
      <c r="X213" t="s">
        <v>80</v>
      </c>
      <c r="Y213" t="s">
        <v>35</v>
      </c>
      <c r="Z213" t="s">
        <v>24</v>
      </c>
      <c r="AA213" t="s">
        <v>51</v>
      </c>
      <c r="AB213">
        <v>16</v>
      </c>
      <c r="AC213" t="s">
        <v>56</v>
      </c>
      <c r="AD213" t="s">
        <v>39</v>
      </c>
      <c r="AE213" t="s">
        <v>453</v>
      </c>
      <c r="AF213">
        <v>4</v>
      </c>
      <c r="AG213">
        <v>0</v>
      </c>
      <c r="AH213" s="1">
        <v>41367</v>
      </c>
      <c r="AI213">
        <v>0</v>
      </c>
      <c r="AJ213">
        <v>7</v>
      </c>
    </row>
    <row r="214" spans="1:36">
      <c r="A214" t="s">
        <v>820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60</v>
      </c>
      <c r="N214" t="s">
        <v>16</v>
      </c>
      <c r="O214">
        <v>1844</v>
      </c>
      <c r="P214" t="s">
        <v>454</v>
      </c>
      <c r="Q214" t="s">
        <v>17</v>
      </c>
      <c r="R214" t="s">
        <v>18</v>
      </c>
      <c r="S214" t="s">
        <v>19</v>
      </c>
      <c r="T214" t="s">
        <v>20</v>
      </c>
      <c r="U214" t="s">
        <v>71</v>
      </c>
      <c r="V214" s="1">
        <v>40735</v>
      </c>
      <c r="W214" s="1">
        <v>42194</v>
      </c>
      <c r="X214" t="s">
        <v>80</v>
      </c>
      <c r="Y214" t="s">
        <v>35</v>
      </c>
      <c r="Z214" t="s">
        <v>62</v>
      </c>
      <c r="AA214" t="s">
        <v>63</v>
      </c>
      <c r="AB214">
        <v>10</v>
      </c>
      <c r="AC214" t="s">
        <v>73</v>
      </c>
      <c r="AD214" t="s">
        <v>27</v>
      </c>
      <c r="AE214" t="s">
        <v>57</v>
      </c>
      <c r="AF214">
        <v>5</v>
      </c>
      <c r="AG214">
        <v>3</v>
      </c>
      <c r="AH214" t="s">
        <v>455</v>
      </c>
      <c r="AI214">
        <v>0</v>
      </c>
      <c r="AJ214">
        <v>13</v>
      </c>
    </row>
    <row r="215" spans="1:36">
      <c r="A215" t="s">
        <v>821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87</v>
      </c>
      <c r="N215" t="s">
        <v>16</v>
      </c>
      <c r="O215">
        <v>2747</v>
      </c>
      <c r="P215" s="1">
        <v>30811</v>
      </c>
      <c r="Q215" t="s">
        <v>17</v>
      </c>
      <c r="R215" t="s">
        <v>31</v>
      </c>
      <c r="S215" t="s">
        <v>19</v>
      </c>
      <c r="T215" t="s">
        <v>20</v>
      </c>
      <c r="U215" t="s">
        <v>21</v>
      </c>
      <c r="V215" s="1">
        <v>41651</v>
      </c>
      <c r="W215" s="1">
        <v>42374</v>
      </c>
      <c r="X215" t="s">
        <v>108</v>
      </c>
      <c r="Y215" t="s">
        <v>35</v>
      </c>
      <c r="Z215" t="s">
        <v>36</v>
      </c>
      <c r="AA215" t="s">
        <v>37</v>
      </c>
      <c r="AB215">
        <v>4</v>
      </c>
      <c r="AC215" t="s">
        <v>69</v>
      </c>
      <c r="AD215" t="s">
        <v>39</v>
      </c>
      <c r="AE215" t="s">
        <v>192</v>
      </c>
      <c r="AF215">
        <v>4</v>
      </c>
      <c r="AG215">
        <v>5</v>
      </c>
      <c r="AH215" t="s">
        <v>456</v>
      </c>
      <c r="AI215">
        <v>0</v>
      </c>
      <c r="AJ215">
        <v>19</v>
      </c>
    </row>
    <row r="216" spans="1:36">
      <c r="A216" t="s">
        <v>822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15</v>
      </c>
      <c r="N216" t="s">
        <v>16</v>
      </c>
      <c r="O216">
        <v>2458</v>
      </c>
      <c r="P216" t="s">
        <v>457</v>
      </c>
      <c r="Q216" t="s">
        <v>17</v>
      </c>
      <c r="R216" t="s">
        <v>18</v>
      </c>
      <c r="S216" t="s">
        <v>19</v>
      </c>
      <c r="T216" t="s">
        <v>20</v>
      </c>
      <c r="U216" t="s">
        <v>71</v>
      </c>
      <c r="V216" s="1">
        <v>40817</v>
      </c>
      <c r="W216" t="s">
        <v>458</v>
      </c>
      <c r="X216" t="s">
        <v>34</v>
      </c>
      <c r="Y216" t="s">
        <v>35</v>
      </c>
      <c r="Z216" t="s">
        <v>24</v>
      </c>
      <c r="AA216" t="s">
        <v>55</v>
      </c>
      <c r="AB216">
        <v>39</v>
      </c>
      <c r="AC216" t="s">
        <v>56</v>
      </c>
      <c r="AD216" t="s">
        <v>118</v>
      </c>
      <c r="AE216" t="s">
        <v>459</v>
      </c>
      <c r="AF216">
        <v>5</v>
      </c>
      <c r="AG216">
        <v>0</v>
      </c>
      <c r="AH216" s="1">
        <v>42890</v>
      </c>
      <c r="AI216">
        <v>4</v>
      </c>
      <c r="AJ216">
        <v>15</v>
      </c>
    </row>
    <row r="217" spans="1:36">
      <c r="A217" t="s">
        <v>823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42</v>
      </c>
      <c r="N217" t="s">
        <v>16</v>
      </c>
      <c r="O217">
        <v>2472</v>
      </c>
      <c r="P217" t="s">
        <v>460</v>
      </c>
      <c r="Q217" t="s">
        <v>44</v>
      </c>
      <c r="R217" t="s">
        <v>31</v>
      </c>
      <c r="S217" t="s">
        <v>19</v>
      </c>
      <c r="T217" t="s">
        <v>20</v>
      </c>
      <c r="U217" t="s">
        <v>111</v>
      </c>
      <c r="V217" s="1">
        <v>40670</v>
      </c>
      <c r="W217" t="s">
        <v>461</v>
      </c>
      <c r="X217" t="s">
        <v>86</v>
      </c>
      <c r="Y217" t="s">
        <v>35</v>
      </c>
      <c r="Z217" t="s">
        <v>24</v>
      </c>
      <c r="AA217" t="s">
        <v>59</v>
      </c>
      <c r="AB217">
        <v>11</v>
      </c>
      <c r="AC217" t="s">
        <v>117</v>
      </c>
      <c r="AD217" t="s">
        <v>118</v>
      </c>
      <c r="AE217" t="s">
        <v>462</v>
      </c>
      <c r="AF217">
        <v>5</v>
      </c>
      <c r="AG217">
        <v>0</v>
      </c>
      <c r="AH217" s="1">
        <v>42157</v>
      </c>
      <c r="AI217">
        <v>5</v>
      </c>
      <c r="AJ217">
        <v>2</v>
      </c>
    </row>
    <row r="218" spans="1:36">
      <c r="A218" t="s">
        <v>824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15</v>
      </c>
      <c r="N218" t="s">
        <v>16</v>
      </c>
      <c r="O218">
        <v>2176</v>
      </c>
      <c r="P218" t="s">
        <v>463</v>
      </c>
      <c r="Q218" t="s">
        <v>44</v>
      </c>
      <c r="R218" t="s">
        <v>18</v>
      </c>
      <c r="S218" t="s">
        <v>19</v>
      </c>
      <c r="T218" t="s">
        <v>20</v>
      </c>
      <c r="U218" t="s">
        <v>21</v>
      </c>
      <c r="V218" t="s">
        <v>194</v>
      </c>
      <c r="W218" t="s">
        <v>464</v>
      </c>
      <c r="X218" t="s">
        <v>465</v>
      </c>
      <c r="Y218" t="s">
        <v>35</v>
      </c>
      <c r="Z218" t="s">
        <v>24</v>
      </c>
      <c r="AA218" t="s">
        <v>59</v>
      </c>
      <c r="AB218">
        <v>11</v>
      </c>
      <c r="AC218" t="s">
        <v>26</v>
      </c>
      <c r="AD218" t="s">
        <v>39</v>
      </c>
      <c r="AE218" t="s">
        <v>466</v>
      </c>
      <c r="AF218">
        <v>4</v>
      </c>
      <c r="AG218">
        <v>0</v>
      </c>
      <c r="AH218" t="s">
        <v>467</v>
      </c>
      <c r="AI218">
        <v>0</v>
      </c>
      <c r="AJ218">
        <v>5</v>
      </c>
    </row>
    <row r="219" spans="1:36">
      <c r="A219" t="s">
        <v>825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42</v>
      </c>
      <c r="N219" t="s">
        <v>16</v>
      </c>
      <c r="O219">
        <v>1886</v>
      </c>
      <c r="P219" t="s">
        <v>468</v>
      </c>
      <c r="Q219" t="s">
        <v>44</v>
      </c>
      <c r="R219" t="s">
        <v>31</v>
      </c>
      <c r="S219" t="s">
        <v>19</v>
      </c>
      <c r="T219" t="s">
        <v>20</v>
      </c>
      <c r="U219" t="s">
        <v>21</v>
      </c>
      <c r="V219" t="s">
        <v>194</v>
      </c>
      <c r="W219" s="1">
        <v>41366</v>
      </c>
      <c r="X219" t="s">
        <v>233</v>
      </c>
      <c r="Y219" t="s">
        <v>35</v>
      </c>
      <c r="Z219" t="s">
        <v>24</v>
      </c>
      <c r="AA219" t="s">
        <v>68</v>
      </c>
      <c r="AB219">
        <v>19</v>
      </c>
      <c r="AC219" t="s">
        <v>38</v>
      </c>
      <c r="AD219" t="s">
        <v>27</v>
      </c>
      <c r="AE219" t="s">
        <v>82</v>
      </c>
      <c r="AF219">
        <v>5</v>
      </c>
      <c r="AG219">
        <v>0</v>
      </c>
      <c r="AH219" s="1">
        <v>41548</v>
      </c>
      <c r="AI219">
        <v>0</v>
      </c>
      <c r="AJ219">
        <v>12</v>
      </c>
    </row>
    <row r="220" spans="1:36">
      <c r="A220" t="s">
        <v>826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133</v>
      </c>
      <c r="N220" t="s">
        <v>16</v>
      </c>
      <c r="O220">
        <v>2030</v>
      </c>
      <c r="P220" s="1">
        <v>28373</v>
      </c>
      <c r="Q220" t="s">
        <v>44</v>
      </c>
      <c r="R220" t="s">
        <v>31</v>
      </c>
      <c r="S220" t="s">
        <v>19</v>
      </c>
      <c r="T220" t="s">
        <v>20</v>
      </c>
      <c r="U220" t="s">
        <v>21</v>
      </c>
      <c r="V220" t="s">
        <v>469</v>
      </c>
      <c r="W220" t="s">
        <v>470</v>
      </c>
      <c r="X220" t="s">
        <v>80</v>
      </c>
      <c r="Y220" t="s">
        <v>35</v>
      </c>
      <c r="Z220" t="s">
        <v>24</v>
      </c>
      <c r="AA220" t="s">
        <v>135</v>
      </c>
      <c r="AB220">
        <v>2</v>
      </c>
      <c r="AC220" t="s">
        <v>38</v>
      </c>
      <c r="AD220" t="s">
        <v>39</v>
      </c>
      <c r="AE220" t="s">
        <v>471</v>
      </c>
      <c r="AF220">
        <v>5</v>
      </c>
      <c r="AG220">
        <v>0</v>
      </c>
      <c r="AH220" s="1">
        <v>42127</v>
      </c>
      <c r="AI220">
        <v>0</v>
      </c>
      <c r="AJ220">
        <v>6</v>
      </c>
    </row>
    <row r="221" spans="1:36">
      <c r="A221" t="s">
        <v>827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42</v>
      </c>
      <c r="N221" t="s">
        <v>16</v>
      </c>
      <c r="O221">
        <v>2050</v>
      </c>
      <c r="P221" s="1">
        <v>29131</v>
      </c>
      <c r="Q221" t="s">
        <v>44</v>
      </c>
      <c r="R221" t="s">
        <v>31</v>
      </c>
      <c r="S221" t="s">
        <v>106</v>
      </c>
      <c r="T221" t="s">
        <v>20</v>
      </c>
      <c r="U221" t="s">
        <v>111</v>
      </c>
      <c r="V221" s="1">
        <v>40943</v>
      </c>
      <c r="X221" t="s">
        <v>22</v>
      </c>
      <c r="Y221" t="s">
        <v>23</v>
      </c>
      <c r="Z221" t="s">
        <v>24</v>
      </c>
      <c r="AA221" t="s">
        <v>72</v>
      </c>
      <c r="AB221">
        <v>12</v>
      </c>
      <c r="AC221" t="s">
        <v>26</v>
      </c>
      <c r="AD221" t="s">
        <v>39</v>
      </c>
      <c r="AE221" t="s">
        <v>187</v>
      </c>
      <c r="AF221">
        <v>3</v>
      </c>
      <c r="AG221">
        <v>0</v>
      </c>
      <c r="AH221" t="s">
        <v>104</v>
      </c>
      <c r="AI221">
        <v>0</v>
      </c>
      <c r="AJ221">
        <v>14</v>
      </c>
    </row>
    <row r="222" spans="1:36">
      <c r="A222" t="s">
        <v>828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87</v>
      </c>
      <c r="N222" t="s">
        <v>16</v>
      </c>
      <c r="O222">
        <v>1886</v>
      </c>
      <c r="P222" t="s">
        <v>472</v>
      </c>
      <c r="Q222" t="s">
        <v>44</v>
      </c>
      <c r="R222" t="s">
        <v>31</v>
      </c>
      <c r="S222" t="s">
        <v>19</v>
      </c>
      <c r="T222" t="s">
        <v>20</v>
      </c>
      <c r="U222" t="s">
        <v>71</v>
      </c>
      <c r="V222" s="1">
        <v>41923</v>
      </c>
      <c r="X222" t="s">
        <v>22</v>
      </c>
      <c r="Y222" t="s">
        <v>23</v>
      </c>
      <c r="Z222" t="s">
        <v>36</v>
      </c>
      <c r="AA222" t="s">
        <v>37</v>
      </c>
      <c r="AB222">
        <v>4</v>
      </c>
      <c r="AC222" t="s">
        <v>69</v>
      </c>
      <c r="AD222" t="s">
        <v>27</v>
      </c>
      <c r="AE222" t="s">
        <v>28</v>
      </c>
      <c r="AF222">
        <v>5</v>
      </c>
      <c r="AG222">
        <v>7</v>
      </c>
      <c r="AH222" s="1">
        <v>43556</v>
      </c>
      <c r="AI222">
        <v>0</v>
      </c>
      <c r="AJ222">
        <v>16</v>
      </c>
    </row>
    <row r="223" spans="1:36">
      <c r="A223" t="s">
        <v>829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15</v>
      </c>
      <c r="N223" t="s">
        <v>16</v>
      </c>
      <c r="O223">
        <v>2451</v>
      </c>
      <c r="P223" s="1">
        <v>32297</v>
      </c>
      <c r="Q223" t="s">
        <v>17</v>
      </c>
      <c r="R223" t="s">
        <v>31</v>
      </c>
      <c r="S223" t="s">
        <v>19</v>
      </c>
      <c r="T223" t="s">
        <v>20</v>
      </c>
      <c r="U223" t="s">
        <v>111</v>
      </c>
      <c r="V223" s="1">
        <v>40670</v>
      </c>
      <c r="W223" t="s">
        <v>473</v>
      </c>
      <c r="X223" t="s">
        <v>233</v>
      </c>
      <c r="Y223" t="s">
        <v>35</v>
      </c>
      <c r="Z223" t="s">
        <v>24</v>
      </c>
      <c r="AA223" t="s">
        <v>72</v>
      </c>
      <c r="AB223">
        <v>12</v>
      </c>
      <c r="AC223" t="s">
        <v>56</v>
      </c>
      <c r="AD223" t="s">
        <v>39</v>
      </c>
      <c r="AE223" t="s">
        <v>57</v>
      </c>
      <c r="AF223">
        <v>3</v>
      </c>
      <c r="AG223">
        <v>0</v>
      </c>
      <c r="AH223" t="s">
        <v>92</v>
      </c>
      <c r="AI223">
        <v>0</v>
      </c>
      <c r="AJ223">
        <v>13</v>
      </c>
    </row>
    <row r="224" spans="1:36">
      <c r="A224" t="s">
        <v>830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15</v>
      </c>
      <c r="N224" t="s">
        <v>16</v>
      </c>
      <c r="O224">
        <v>2451</v>
      </c>
      <c r="P224" t="s">
        <v>474</v>
      </c>
      <c r="Q224" t="s">
        <v>17</v>
      </c>
      <c r="R224" t="s">
        <v>18</v>
      </c>
      <c r="S224" t="s">
        <v>19</v>
      </c>
      <c r="T224" t="s">
        <v>20</v>
      </c>
      <c r="U224" t="s">
        <v>21</v>
      </c>
      <c r="V224" s="1">
        <v>39213</v>
      </c>
      <c r="X224" t="s">
        <v>22</v>
      </c>
      <c r="Y224" t="s">
        <v>23</v>
      </c>
      <c r="Z224" t="s">
        <v>24</v>
      </c>
      <c r="AA224" t="s">
        <v>81</v>
      </c>
      <c r="AB224">
        <v>14</v>
      </c>
      <c r="AC224" t="s">
        <v>56</v>
      </c>
      <c r="AD224" t="s">
        <v>39</v>
      </c>
      <c r="AE224" t="s">
        <v>287</v>
      </c>
      <c r="AF224">
        <v>3</v>
      </c>
      <c r="AG224">
        <v>0</v>
      </c>
      <c r="AH224" t="s">
        <v>70</v>
      </c>
      <c r="AI224">
        <v>0</v>
      </c>
      <c r="AJ224">
        <v>15</v>
      </c>
    </row>
    <row r="225" spans="1:36">
      <c r="A225" t="s">
        <v>831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151</v>
      </c>
      <c r="N225" t="s">
        <v>475</v>
      </c>
      <c r="O225">
        <v>40220</v>
      </c>
      <c r="P225" t="s">
        <v>476</v>
      </c>
      <c r="Q225" t="s">
        <v>44</v>
      </c>
      <c r="R225" t="s">
        <v>31</v>
      </c>
      <c r="S225" t="s">
        <v>19</v>
      </c>
      <c r="T225" t="s">
        <v>20</v>
      </c>
      <c r="U225" t="s">
        <v>71</v>
      </c>
      <c r="V225" s="1">
        <v>41153</v>
      </c>
      <c r="X225" t="s">
        <v>22</v>
      </c>
      <c r="Y225" t="s">
        <v>23</v>
      </c>
      <c r="Z225" t="s">
        <v>154</v>
      </c>
      <c r="AA225" t="s">
        <v>180</v>
      </c>
      <c r="AB225">
        <v>21</v>
      </c>
      <c r="AC225" t="s">
        <v>244</v>
      </c>
      <c r="AD225" t="s">
        <v>39</v>
      </c>
      <c r="AE225" t="s">
        <v>82</v>
      </c>
      <c r="AF225">
        <v>5</v>
      </c>
      <c r="AG225">
        <v>0</v>
      </c>
      <c r="AH225" s="1">
        <v>43467</v>
      </c>
      <c r="AI225">
        <v>0</v>
      </c>
      <c r="AJ225">
        <v>9</v>
      </c>
    </row>
    <row r="226" spans="1:36">
      <c r="A226" t="s">
        <v>832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15</v>
      </c>
      <c r="N226" t="s">
        <v>16</v>
      </c>
      <c r="O226">
        <v>1742</v>
      </c>
      <c r="P226" t="s">
        <v>477</v>
      </c>
      <c r="Q226" t="s">
        <v>44</v>
      </c>
      <c r="R226" t="s">
        <v>53</v>
      </c>
      <c r="S226" t="s">
        <v>106</v>
      </c>
      <c r="T226" t="s">
        <v>20</v>
      </c>
      <c r="U226" t="s">
        <v>111</v>
      </c>
      <c r="V226" t="s">
        <v>194</v>
      </c>
      <c r="W226" s="1">
        <v>43196</v>
      </c>
      <c r="X226" t="s">
        <v>80</v>
      </c>
      <c r="Y226" t="s">
        <v>35</v>
      </c>
      <c r="Z226" t="s">
        <v>24</v>
      </c>
      <c r="AA226" t="s">
        <v>47</v>
      </c>
      <c r="AB226">
        <v>20</v>
      </c>
      <c r="AC226" t="s">
        <v>56</v>
      </c>
      <c r="AD226" t="s">
        <v>39</v>
      </c>
      <c r="AE226" t="s">
        <v>478</v>
      </c>
      <c r="AF226">
        <v>4</v>
      </c>
      <c r="AG226">
        <v>0</v>
      </c>
      <c r="AH226" s="1">
        <v>43135</v>
      </c>
      <c r="AI226">
        <v>0</v>
      </c>
      <c r="AJ226">
        <v>14</v>
      </c>
    </row>
    <row r="227" spans="1:36">
      <c r="A227" t="s">
        <v>833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15</v>
      </c>
      <c r="N227" t="s">
        <v>16</v>
      </c>
      <c r="O227">
        <v>2109</v>
      </c>
      <c r="P227" t="s">
        <v>479</v>
      </c>
      <c r="Q227" t="s">
        <v>17</v>
      </c>
      <c r="R227" t="s">
        <v>18</v>
      </c>
      <c r="S227" t="s">
        <v>19</v>
      </c>
      <c r="T227" t="s">
        <v>20</v>
      </c>
      <c r="U227" t="s">
        <v>21</v>
      </c>
      <c r="V227" s="1">
        <v>41791</v>
      </c>
      <c r="X227" t="s">
        <v>22</v>
      </c>
      <c r="Y227" t="s">
        <v>23</v>
      </c>
      <c r="Z227" t="s">
        <v>24</v>
      </c>
      <c r="AA227" t="s">
        <v>93</v>
      </c>
      <c r="AB227">
        <v>18</v>
      </c>
      <c r="AC227" t="s">
        <v>69</v>
      </c>
      <c r="AD227" t="s">
        <v>39</v>
      </c>
      <c r="AE227" t="s">
        <v>121</v>
      </c>
      <c r="AF227">
        <v>3</v>
      </c>
      <c r="AG227">
        <v>0</v>
      </c>
      <c r="AH227" s="1">
        <v>43647</v>
      </c>
      <c r="AI227">
        <v>0</v>
      </c>
      <c r="AJ227">
        <v>14</v>
      </c>
    </row>
    <row r="228" spans="1:36">
      <c r="A228" t="s">
        <v>834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15</v>
      </c>
      <c r="N228" t="s">
        <v>16</v>
      </c>
      <c r="O228">
        <v>2474</v>
      </c>
      <c r="P228" t="s">
        <v>480</v>
      </c>
      <c r="Q228" t="s">
        <v>44</v>
      </c>
      <c r="R228" t="s">
        <v>53</v>
      </c>
      <c r="S228" t="s">
        <v>19</v>
      </c>
      <c r="T228" t="s">
        <v>20</v>
      </c>
      <c r="U228" t="s">
        <v>21</v>
      </c>
      <c r="V228" t="s">
        <v>45</v>
      </c>
      <c r="W228" t="s">
        <v>339</v>
      </c>
      <c r="X228" t="s">
        <v>86</v>
      </c>
      <c r="Y228" t="s">
        <v>35</v>
      </c>
      <c r="Z228" t="s">
        <v>24</v>
      </c>
      <c r="AA228" t="s">
        <v>47</v>
      </c>
      <c r="AB228">
        <v>20</v>
      </c>
      <c r="AC228" t="s">
        <v>38</v>
      </c>
      <c r="AD228" t="s">
        <v>39</v>
      </c>
      <c r="AE228" t="s">
        <v>109</v>
      </c>
      <c r="AF228">
        <v>5</v>
      </c>
      <c r="AG228">
        <v>0</v>
      </c>
      <c r="AH228" s="1">
        <v>41309</v>
      </c>
      <c r="AI228">
        <v>0</v>
      </c>
      <c r="AJ228">
        <v>16</v>
      </c>
    </row>
    <row r="229" spans="1:36">
      <c r="A229" t="s">
        <v>835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60</v>
      </c>
      <c r="N229" t="s">
        <v>16</v>
      </c>
      <c r="O229">
        <v>2045</v>
      </c>
      <c r="P229" s="1">
        <v>30844</v>
      </c>
      <c r="Q229" t="s">
        <v>17</v>
      </c>
      <c r="R229" t="s">
        <v>31</v>
      </c>
      <c r="S229" t="s">
        <v>106</v>
      </c>
      <c r="T229" t="s">
        <v>20</v>
      </c>
      <c r="U229" t="s">
        <v>71</v>
      </c>
      <c r="V229" t="s">
        <v>98</v>
      </c>
      <c r="W229" t="s">
        <v>481</v>
      </c>
      <c r="X229" t="s">
        <v>34</v>
      </c>
      <c r="Y229" t="s">
        <v>35</v>
      </c>
      <c r="Z229" t="s">
        <v>62</v>
      </c>
      <c r="AA229" t="s">
        <v>135</v>
      </c>
      <c r="AB229">
        <v>2</v>
      </c>
      <c r="AC229" t="s">
        <v>73</v>
      </c>
      <c r="AD229" t="s">
        <v>39</v>
      </c>
      <c r="AE229" t="s">
        <v>482</v>
      </c>
      <c r="AF229">
        <v>4</v>
      </c>
      <c r="AG229">
        <v>0</v>
      </c>
      <c r="AH229" t="s">
        <v>483</v>
      </c>
      <c r="AI229">
        <v>0</v>
      </c>
      <c r="AJ229">
        <v>4</v>
      </c>
    </row>
    <row r="230" spans="1:36">
      <c r="A230" t="s">
        <v>836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236</v>
      </c>
      <c r="N230" t="s">
        <v>16</v>
      </c>
      <c r="O230">
        <v>2110</v>
      </c>
      <c r="P230" s="1">
        <v>29560</v>
      </c>
      <c r="Q230" t="s">
        <v>44</v>
      </c>
      <c r="R230" t="s">
        <v>31</v>
      </c>
      <c r="S230" t="s">
        <v>19</v>
      </c>
      <c r="T230" t="s">
        <v>20</v>
      </c>
      <c r="U230" t="s">
        <v>71</v>
      </c>
      <c r="V230" s="1">
        <v>42410</v>
      </c>
      <c r="X230" t="s">
        <v>22</v>
      </c>
      <c r="Y230" t="s">
        <v>23</v>
      </c>
      <c r="Z230" t="s">
        <v>36</v>
      </c>
      <c r="AA230" t="s">
        <v>238</v>
      </c>
      <c r="AB230">
        <v>13</v>
      </c>
      <c r="AC230" t="s">
        <v>38</v>
      </c>
      <c r="AD230" t="s">
        <v>39</v>
      </c>
      <c r="AE230" t="s">
        <v>103</v>
      </c>
      <c r="AF230">
        <v>4</v>
      </c>
      <c r="AG230">
        <v>6</v>
      </c>
      <c r="AH230" s="1">
        <v>43618</v>
      </c>
      <c r="AI230">
        <v>0</v>
      </c>
      <c r="AJ230">
        <v>10</v>
      </c>
    </row>
    <row r="231" spans="1:36">
      <c r="A231" t="s">
        <v>837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15</v>
      </c>
      <c r="N231" t="s">
        <v>16</v>
      </c>
      <c r="O231">
        <v>2478</v>
      </c>
      <c r="P231" t="s">
        <v>484</v>
      </c>
      <c r="Q231" t="s">
        <v>17</v>
      </c>
      <c r="R231" t="s">
        <v>53</v>
      </c>
      <c r="S231" t="s">
        <v>19</v>
      </c>
      <c r="T231" t="s">
        <v>20</v>
      </c>
      <c r="U231" t="s">
        <v>21</v>
      </c>
      <c r="V231" t="s">
        <v>197</v>
      </c>
      <c r="W231" s="1">
        <v>43285</v>
      </c>
      <c r="X231" t="s">
        <v>233</v>
      </c>
      <c r="Y231" t="s">
        <v>35</v>
      </c>
      <c r="Z231" t="s">
        <v>24</v>
      </c>
      <c r="AA231" t="s">
        <v>25</v>
      </c>
      <c r="AB231">
        <v>22</v>
      </c>
      <c r="AC231" t="s">
        <v>38</v>
      </c>
      <c r="AD231" t="s">
        <v>39</v>
      </c>
      <c r="AE231" t="s">
        <v>178</v>
      </c>
      <c r="AF231">
        <v>5</v>
      </c>
      <c r="AG231">
        <v>0</v>
      </c>
      <c r="AH231" s="1">
        <v>43192</v>
      </c>
      <c r="AI231">
        <v>0</v>
      </c>
      <c r="AJ231">
        <v>19</v>
      </c>
    </row>
    <row r="232" spans="1:36">
      <c r="A232" t="s">
        <v>838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151</v>
      </c>
      <c r="N232" t="s">
        <v>485</v>
      </c>
      <c r="O232">
        <v>83706</v>
      </c>
      <c r="P232" s="1">
        <v>20068</v>
      </c>
      <c r="Q232" t="s">
        <v>17</v>
      </c>
      <c r="R232" t="s">
        <v>31</v>
      </c>
      <c r="S232" t="s">
        <v>19</v>
      </c>
      <c r="T232" t="s">
        <v>20</v>
      </c>
      <c r="U232" t="s">
        <v>21</v>
      </c>
      <c r="V232" s="1">
        <v>41978</v>
      </c>
      <c r="X232" t="s">
        <v>22</v>
      </c>
      <c r="Y232" t="s">
        <v>23</v>
      </c>
      <c r="Z232" t="s">
        <v>154</v>
      </c>
      <c r="AA232" t="s">
        <v>155</v>
      </c>
      <c r="AB232">
        <v>17</v>
      </c>
      <c r="AC232" t="s">
        <v>117</v>
      </c>
      <c r="AD232" t="s">
        <v>39</v>
      </c>
      <c r="AE232" t="s">
        <v>486</v>
      </c>
      <c r="AF232">
        <v>3</v>
      </c>
      <c r="AG232">
        <v>0</v>
      </c>
      <c r="AH232" t="s">
        <v>213</v>
      </c>
      <c r="AI232">
        <v>0</v>
      </c>
      <c r="AJ232">
        <v>4</v>
      </c>
    </row>
    <row r="233" spans="1:36">
      <c r="A233" t="s">
        <v>839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15</v>
      </c>
      <c r="N233" t="s">
        <v>16</v>
      </c>
      <c r="O233">
        <v>2176</v>
      </c>
      <c r="P233" t="s">
        <v>487</v>
      </c>
      <c r="Q233" t="s">
        <v>17</v>
      </c>
      <c r="R233" t="s">
        <v>53</v>
      </c>
      <c r="S233" t="s">
        <v>19</v>
      </c>
      <c r="T233" t="s">
        <v>79</v>
      </c>
      <c r="U233" t="s">
        <v>21</v>
      </c>
      <c r="V233" t="s">
        <v>194</v>
      </c>
      <c r="W233" t="s">
        <v>488</v>
      </c>
      <c r="X233" t="s">
        <v>134</v>
      </c>
      <c r="Y233" t="s">
        <v>35</v>
      </c>
      <c r="Z233" t="s">
        <v>24</v>
      </c>
      <c r="AA233" t="s">
        <v>51</v>
      </c>
      <c r="AB233">
        <v>16</v>
      </c>
      <c r="AC233" t="s">
        <v>26</v>
      </c>
      <c r="AD233" t="s">
        <v>39</v>
      </c>
      <c r="AE233" t="s">
        <v>57</v>
      </c>
      <c r="AF233">
        <v>4</v>
      </c>
      <c r="AG233">
        <v>0</v>
      </c>
      <c r="AH233" t="s">
        <v>32</v>
      </c>
      <c r="AI233">
        <v>0</v>
      </c>
      <c r="AJ233">
        <v>11</v>
      </c>
    </row>
    <row r="234" spans="1:36">
      <c r="A234" t="s">
        <v>840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15</v>
      </c>
      <c r="N234" t="s">
        <v>16</v>
      </c>
      <c r="O234">
        <v>2171</v>
      </c>
      <c r="P234" s="1">
        <v>26999</v>
      </c>
      <c r="Q234" t="s">
        <v>44</v>
      </c>
      <c r="R234" t="s">
        <v>31</v>
      </c>
      <c r="S234" t="s">
        <v>19</v>
      </c>
      <c r="T234" t="s">
        <v>20</v>
      </c>
      <c r="U234" t="s">
        <v>111</v>
      </c>
      <c r="V234" t="s">
        <v>332</v>
      </c>
      <c r="X234" t="s">
        <v>22</v>
      </c>
      <c r="Y234" t="s">
        <v>23</v>
      </c>
      <c r="Z234" t="s">
        <v>24</v>
      </c>
      <c r="AA234" t="s">
        <v>55</v>
      </c>
      <c r="AC234" t="s">
        <v>56</v>
      </c>
      <c r="AD234" t="s">
        <v>27</v>
      </c>
      <c r="AE234" t="s">
        <v>489</v>
      </c>
      <c r="AF234">
        <v>5</v>
      </c>
      <c r="AG234">
        <v>0</v>
      </c>
      <c r="AH234" s="1">
        <v>43771</v>
      </c>
      <c r="AI234">
        <v>0</v>
      </c>
      <c r="AJ234">
        <v>16</v>
      </c>
    </row>
    <row r="235" spans="1:36">
      <c r="A235" t="s">
        <v>841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42</v>
      </c>
      <c r="N235" t="s">
        <v>16</v>
      </c>
      <c r="O235">
        <v>1902</v>
      </c>
      <c r="P235" s="1">
        <v>29715</v>
      </c>
      <c r="Q235" t="s">
        <v>44</v>
      </c>
      <c r="R235" t="s">
        <v>53</v>
      </c>
      <c r="S235" t="s">
        <v>106</v>
      </c>
      <c r="T235" t="s">
        <v>20</v>
      </c>
      <c r="U235" t="s">
        <v>71</v>
      </c>
      <c r="V235" t="s">
        <v>197</v>
      </c>
      <c r="W235" t="s">
        <v>490</v>
      </c>
      <c r="X235" t="s">
        <v>54</v>
      </c>
      <c r="Y235" t="s">
        <v>35</v>
      </c>
      <c r="Z235" t="s">
        <v>24</v>
      </c>
      <c r="AA235" t="s">
        <v>81</v>
      </c>
      <c r="AB235">
        <v>14</v>
      </c>
      <c r="AC235" t="s">
        <v>56</v>
      </c>
      <c r="AD235" t="s">
        <v>39</v>
      </c>
      <c r="AE235" t="s">
        <v>109</v>
      </c>
      <c r="AF235">
        <v>4</v>
      </c>
      <c r="AG235">
        <v>0</v>
      </c>
      <c r="AH235" t="s">
        <v>490</v>
      </c>
      <c r="AI235">
        <v>0</v>
      </c>
      <c r="AJ235">
        <v>10</v>
      </c>
    </row>
    <row r="236" spans="1:36">
      <c r="A236" t="s">
        <v>842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42</v>
      </c>
      <c r="N236" t="s">
        <v>16</v>
      </c>
      <c r="O236">
        <v>2138</v>
      </c>
      <c r="P236" s="1">
        <v>26365</v>
      </c>
      <c r="Q236" t="s">
        <v>17</v>
      </c>
      <c r="R236" t="s">
        <v>31</v>
      </c>
      <c r="S236" t="s">
        <v>19</v>
      </c>
      <c r="T236" t="s">
        <v>20</v>
      </c>
      <c r="U236" t="s">
        <v>21</v>
      </c>
      <c r="V236" s="1">
        <v>40670</v>
      </c>
      <c r="W236" s="1">
        <v>41123</v>
      </c>
      <c r="X236" t="s">
        <v>80</v>
      </c>
      <c r="Y236" t="s">
        <v>35</v>
      </c>
      <c r="Z236" t="s">
        <v>24</v>
      </c>
      <c r="AA236" t="s">
        <v>47</v>
      </c>
      <c r="AB236">
        <v>20</v>
      </c>
      <c r="AC236" t="s">
        <v>38</v>
      </c>
      <c r="AD236" t="s">
        <v>39</v>
      </c>
      <c r="AE236" t="s">
        <v>82</v>
      </c>
      <c r="AF236">
        <v>5</v>
      </c>
      <c r="AG236">
        <v>0</v>
      </c>
      <c r="AH236" s="1">
        <v>41061</v>
      </c>
      <c r="AI236">
        <v>0</v>
      </c>
      <c r="AJ236">
        <v>13</v>
      </c>
    </row>
    <row r="237" spans="1:36">
      <c r="A237" t="s">
        <v>843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15</v>
      </c>
      <c r="N237" t="s">
        <v>16</v>
      </c>
      <c r="O237">
        <v>1420</v>
      </c>
      <c r="P237" s="1">
        <v>27211</v>
      </c>
      <c r="Q237" t="s">
        <v>17</v>
      </c>
      <c r="R237" t="s">
        <v>31</v>
      </c>
      <c r="S237" t="s">
        <v>19</v>
      </c>
      <c r="T237" t="s">
        <v>20</v>
      </c>
      <c r="U237" t="s">
        <v>71</v>
      </c>
      <c r="V237" s="1">
        <v>40817</v>
      </c>
      <c r="W237" t="s">
        <v>491</v>
      </c>
      <c r="X237" t="s">
        <v>99</v>
      </c>
      <c r="Y237" t="s">
        <v>35</v>
      </c>
      <c r="Z237" t="s">
        <v>24</v>
      </c>
      <c r="AA237" t="s">
        <v>59</v>
      </c>
      <c r="AB237">
        <v>11</v>
      </c>
      <c r="AC237" t="s">
        <v>38</v>
      </c>
      <c r="AD237" t="s">
        <v>39</v>
      </c>
      <c r="AE237" t="s">
        <v>57</v>
      </c>
      <c r="AF237">
        <v>3</v>
      </c>
      <c r="AG237">
        <v>0</v>
      </c>
      <c r="AH237" s="1">
        <v>42278</v>
      </c>
      <c r="AI237">
        <v>0</v>
      </c>
      <c r="AJ237">
        <v>11</v>
      </c>
    </row>
    <row r="238" spans="1:36">
      <c r="A238" t="s">
        <v>844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15</v>
      </c>
      <c r="N238" t="s">
        <v>16</v>
      </c>
      <c r="O238">
        <v>1460</v>
      </c>
      <c r="P238" s="1">
        <v>31229</v>
      </c>
      <c r="Q238" t="s">
        <v>44</v>
      </c>
      <c r="R238" t="s">
        <v>31</v>
      </c>
      <c r="S238" t="s">
        <v>19</v>
      </c>
      <c r="T238" t="s">
        <v>20</v>
      </c>
      <c r="U238" t="s">
        <v>21</v>
      </c>
      <c r="V238" s="1">
        <v>40817</v>
      </c>
      <c r="W238" t="s">
        <v>277</v>
      </c>
      <c r="X238" t="s">
        <v>99</v>
      </c>
      <c r="Y238" t="s">
        <v>100</v>
      </c>
      <c r="Z238" t="s">
        <v>24</v>
      </c>
      <c r="AA238" t="s">
        <v>68</v>
      </c>
      <c r="AB238">
        <v>19</v>
      </c>
      <c r="AC238" t="s">
        <v>38</v>
      </c>
      <c r="AD238" t="s">
        <v>118</v>
      </c>
      <c r="AE238" t="s">
        <v>343</v>
      </c>
      <c r="AF238">
        <v>3</v>
      </c>
      <c r="AG238">
        <v>0</v>
      </c>
      <c r="AH238" s="1">
        <v>42494</v>
      </c>
      <c r="AI238">
        <v>4</v>
      </c>
      <c r="AJ238">
        <v>16</v>
      </c>
    </row>
    <row r="239" spans="1:36">
      <c r="A239" t="s">
        <v>845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15</v>
      </c>
      <c r="N239" t="s">
        <v>16</v>
      </c>
      <c r="O239">
        <v>1730</v>
      </c>
      <c r="P239" t="s">
        <v>492</v>
      </c>
      <c r="Q239" t="s">
        <v>17</v>
      </c>
      <c r="R239" t="s">
        <v>66</v>
      </c>
      <c r="S239" t="s">
        <v>19</v>
      </c>
      <c r="T239" t="s">
        <v>20</v>
      </c>
      <c r="U239" t="s">
        <v>21</v>
      </c>
      <c r="V239" s="1">
        <v>41493</v>
      </c>
      <c r="X239" t="s">
        <v>22</v>
      </c>
      <c r="Y239" t="s">
        <v>23</v>
      </c>
      <c r="Z239" t="s">
        <v>24</v>
      </c>
      <c r="AA239" t="s">
        <v>72</v>
      </c>
      <c r="AB239">
        <v>12</v>
      </c>
      <c r="AC239" t="s">
        <v>69</v>
      </c>
      <c r="AD239" t="s">
        <v>27</v>
      </c>
      <c r="AE239" t="s">
        <v>343</v>
      </c>
      <c r="AF239">
        <v>5</v>
      </c>
      <c r="AG239">
        <v>0</v>
      </c>
      <c r="AH239" s="1">
        <v>43771</v>
      </c>
      <c r="AI239">
        <v>0</v>
      </c>
      <c r="AJ239">
        <v>4</v>
      </c>
    </row>
    <row r="240" spans="1:36">
      <c r="A240" t="s">
        <v>846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87</v>
      </c>
      <c r="N240" t="s">
        <v>16</v>
      </c>
      <c r="O240">
        <v>1886</v>
      </c>
      <c r="P240" s="1">
        <v>29900</v>
      </c>
      <c r="Q240" t="s">
        <v>44</v>
      </c>
      <c r="R240" t="s">
        <v>31</v>
      </c>
      <c r="S240" t="s">
        <v>19</v>
      </c>
      <c r="T240" t="s">
        <v>20</v>
      </c>
      <c r="U240" t="s">
        <v>21</v>
      </c>
      <c r="V240" t="s">
        <v>130</v>
      </c>
      <c r="X240" t="s">
        <v>22</v>
      </c>
      <c r="Y240" t="s">
        <v>23</v>
      </c>
      <c r="Z240" t="s">
        <v>36</v>
      </c>
      <c r="AA240" t="s">
        <v>37</v>
      </c>
      <c r="AB240">
        <v>4</v>
      </c>
      <c r="AC240" t="s">
        <v>69</v>
      </c>
      <c r="AD240" t="s">
        <v>39</v>
      </c>
      <c r="AE240" t="s">
        <v>493</v>
      </c>
      <c r="AF240">
        <v>5</v>
      </c>
      <c r="AG240">
        <v>6</v>
      </c>
      <c r="AH240" t="s">
        <v>94</v>
      </c>
      <c r="AI240">
        <v>0</v>
      </c>
      <c r="AJ240">
        <v>15</v>
      </c>
    </row>
    <row r="241" spans="1:36">
      <c r="A241" t="s">
        <v>847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494</v>
      </c>
      <c r="N241" t="s">
        <v>16</v>
      </c>
      <c r="O241">
        <v>2703</v>
      </c>
      <c r="P241" t="s">
        <v>495</v>
      </c>
      <c r="Q241" t="s">
        <v>44</v>
      </c>
      <c r="R241" t="s">
        <v>18</v>
      </c>
      <c r="S241" t="s">
        <v>19</v>
      </c>
      <c r="T241" t="s">
        <v>79</v>
      </c>
      <c r="U241" t="s">
        <v>21</v>
      </c>
      <c r="V241" s="1">
        <v>42125</v>
      </c>
      <c r="W241" s="1">
        <v>43384</v>
      </c>
      <c r="X241" t="s">
        <v>80</v>
      </c>
      <c r="Y241" t="s">
        <v>35</v>
      </c>
      <c r="Z241" t="s">
        <v>36</v>
      </c>
      <c r="AA241" t="s">
        <v>37</v>
      </c>
      <c r="AB241">
        <v>4</v>
      </c>
      <c r="AC241" t="s">
        <v>26</v>
      </c>
      <c r="AD241" t="s">
        <v>39</v>
      </c>
      <c r="AE241" t="s">
        <v>247</v>
      </c>
      <c r="AF241">
        <v>3</v>
      </c>
      <c r="AG241">
        <v>7</v>
      </c>
      <c r="AH241" t="s">
        <v>496</v>
      </c>
      <c r="AI241">
        <v>0</v>
      </c>
      <c r="AJ241">
        <v>12</v>
      </c>
    </row>
    <row r="242" spans="1:36">
      <c r="A242" t="s">
        <v>848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497</v>
      </c>
      <c r="N242" t="s">
        <v>16</v>
      </c>
      <c r="O242">
        <v>2056</v>
      </c>
      <c r="P242" t="s">
        <v>498</v>
      </c>
      <c r="Q242" t="s">
        <v>44</v>
      </c>
      <c r="R242" t="s">
        <v>18</v>
      </c>
      <c r="S242" t="s">
        <v>19</v>
      </c>
      <c r="T242" t="s">
        <v>20</v>
      </c>
      <c r="U242" t="s">
        <v>71</v>
      </c>
      <c r="V242" s="1">
        <v>42917</v>
      </c>
      <c r="X242" t="s">
        <v>22</v>
      </c>
      <c r="Y242" t="s">
        <v>23</v>
      </c>
      <c r="Z242" t="s">
        <v>36</v>
      </c>
      <c r="AA242" t="s">
        <v>238</v>
      </c>
      <c r="AB242">
        <v>13</v>
      </c>
      <c r="AC242" t="s">
        <v>38</v>
      </c>
      <c r="AD242" t="s">
        <v>39</v>
      </c>
      <c r="AE242" t="s">
        <v>499</v>
      </c>
      <c r="AF242">
        <v>3</v>
      </c>
      <c r="AG242">
        <v>5</v>
      </c>
      <c r="AH242" s="1">
        <v>43618</v>
      </c>
      <c r="AI242">
        <v>0</v>
      </c>
      <c r="AJ242">
        <v>17</v>
      </c>
    </row>
    <row r="243" spans="1:36">
      <c r="A243" t="s">
        <v>849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15</v>
      </c>
      <c r="N243" t="s">
        <v>16</v>
      </c>
      <c r="O243">
        <v>1886</v>
      </c>
      <c r="P243" s="1">
        <v>27161</v>
      </c>
      <c r="Q243" t="s">
        <v>44</v>
      </c>
      <c r="R243" t="s">
        <v>149</v>
      </c>
      <c r="S243" t="s">
        <v>19</v>
      </c>
      <c r="T243" t="s">
        <v>20</v>
      </c>
      <c r="U243" t="s">
        <v>21</v>
      </c>
      <c r="V243" s="1">
        <v>41791</v>
      </c>
      <c r="X243" t="s">
        <v>22</v>
      </c>
      <c r="Y243" t="s">
        <v>23</v>
      </c>
      <c r="Z243" t="s">
        <v>24</v>
      </c>
      <c r="AA243" t="s">
        <v>81</v>
      </c>
      <c r="AB243">
        <v>14</v>
      </c>
      <c r="AC243" t="s">
        <v>244</v>
      </c>
      <c r="AD243" t="s">
        <v>39</v>
      </c>
      <c r="AE243" t="s">
        <v>57</v>
      </c>
      <c r="AF243">
        <v>4</v>
      </c>
      <c r="AG243">
        <v>0</v>
      </c>
      <c r="AH243" t="s">
        <v>226</v>
      </c>
      <c r="AI243">
        <v>0</v>
      </c>
      <c r="AJ243">
        <v>8</v>
      </c>
    </row>
    <row r="244" spans="1:36">
      <c r="A244" t="s">
        <v>850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15</v>
      </c>
      <c r="N244" t="s">
        <v>16</v>
      </c>
      <c r="O244">
        <v>2155</v>
      </c>
      <c r="P244" t="s">
        <v>500</v>
      </c>
      <c r="Q244" t="s">
        <v>17</v>
      </c>
      <c r="R244" t="s">
        <v>18</v>
      </c>
      <c r="S244" t="s">
        <v>19</v>
      </c>
      <c r="T244" t="s">
        <v>20</v>
      </c>
      <c r="U244" t="s">
        <v>21</v>
      </c>
      <c r="V244" s="1">
        <v>40637</v>
      </c>
      <c r="W244" t="s">
        <v>501</v>
      </c>
      <c r="X244" t="s">
        <v>80</v>
      </c>
      <c r="Y244" t="s">
        <v>35</v>
      </c>
      <c r="Z244" t="s">
        <v>24</v>
      </c>
      <c r="AA244" t="s">
        <v>47</v>
      </c>
      <c r="AB244">
        <v>20</v>
      </c>
      <c r="AC244" t="s">
        <v>56</v>
      </c>
      <c r="AD244" t="s">
        <v>39</v>
      </c>
      <c r="AE244" t="s">
        <v>57</v>
      </c>
      <c r="AF244">
        <v>5</v>
      </c>
      <c r="AG244">
        <v>0</v>
      </c>
      <c r="AH244" s="1">
        <v>43138</v>
      </c>
      <c r="AI244">
        <v>0</v>
      </c>
      <c r="AJ244">
        <v>4</v>
      </c>
    </row>
    <row r="245" spans="1:36">
      <c r="A245" t="s">
        <v>851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502</v>
      </c>
      <c r="N245" t="s">
        <v>16</v>
      </c>
      <c r="O245">
        <v>2481</v>
      </c>
      <c r="P245" s="1">
        <v>26788</v>
      </c>
      <c r="Q245" t="s">
        <v>17</v>
      </c>
      <c r="R245" t="s">
        <v>18</v>
      </c>
      <c r="S245" t="s">
        <v>19</v>
      </c>
      <c r="T245" t="s">
        <v>20</v>
      </c>
      <c r="U245" t="s">
        <v>21</v>
      </c>
      <c r="V245" t="s">
        <v>503</v>
      </c>
      <c r="X245" t="s">
        <v>22</v>
      </c>
      <c r="Y245" t="s">
        <v>23</v>
      </c>
      <c r="Z245" t="s">
        <v>36</v>
      </c>
      <c r="AA245" t="s">
        <v>163</v>
      </c>
      <c r="AB245">
        <v>5</v>
      </c>
      <c r="AC245" t="s">
        <v>38</v>
      </c>
      <c r="AD245" t="s">
        <v>39</v>
      </c>
      <c r="AE245" t="s">
        <v>343</v>
      </c>
      <c r="AF245">
        <v>5</v>
      </c>
      <c r="AG245">
        <v>7</v>
      </c>
      <c r="AH245" t="s">
        <v>78</v>
      </c>
      <c r="AI245">
        <v>0</v>
      </c>
      <c r="AJ245">
        <v>13</v>
      </c>
    </row>
    <row r="246" spans="1:36">
      <c r="A246" t="s">
        <v>852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502</v>
      </c>
      <c r="N246" t="s">
        <v>16</v>
      </c>
      <c r="O246">
        <v>1915</v>
      </c>
      <c r="P246" s="1">
        <v>23468</v>
      </c>
      <c r="Q246" t="s">
        <v>17</v>
      </c>
      <c r="R246" t="s">
        <v>53</v>
      </c>
      <c r="S246" t="s">
        <v>19</v>
      </c>
      <c r="T246" t="s">
        <v>20</v>
      </c>
      <c r="U246" t="s">
        <v>71</v>
      </c>
      <c r="V246" s="1">
        <v>41153</v>
      </c>
      <c r="W246" s="1">
        <v>42105</v>
      </c>
      <c r="X246" t="s">
        <v>46</v>
      </c>
      <c r="Y246" t="s">
        <v>35</v>
      </c>
      <c r="Z246" t="s">
        <v>36</v>
      </c>
      <c r="AA246" t="s">
        <v>163</v>
      </c>
      <c r="AB246">
        <v>5</v>
      </c>
      <c r="AC246" t="s">
        <v>73</v>
      </c>
      <c r="AD246" t="s">
        <v>39</v>
      </c>
      <c r="AE246" t="s">
        <v>187</v>
      </c>
      <c r="AF246">
        <v>4</v>
      </c>
      <c r="AG246">
        <v>6</v>
      </c>
      <c r="AH246" s="1">
        <v>42095</v>
      </c>
      <c r="AI246">
        <v>0</v>
      </c>
      <c r="AJ246">
        <v>8</v>
      </c>
    </row>
    <row r="247" spans="1:36">
      <c r="A247" t="s">
        <v>853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60</v>
      </c>
      <c r="N247" t="s">
        <v>16</v>
      </c>
      <c r="O247">
        <v>2132</v>
      </c>
      <c r="P247" t="s">
        <v>504</v>
      </c>
      <c r="Q247" t="s">
        <v>44</v>
      </c>
      <c r="R247" t="s">
        <v>31</v>
      </c>
      <c r="S247" t="s">
        <v>19</v>
      </c>
      <c r="T247" t="s">
        <v>20</v>
      </c>
      <c r="U247" t="s">
        <v>21</v>
      </c>
      <c r="V247" s="1">
        <v>41040</v>
      </c>
      <c r="X247" t="s">
        <v>22</v>
      </c>
      <c r="Y247" t="s">
        <v>23</v>
      </c>
      <c r="Z247" t="s">
        <v>62</v>
      </c>
      <c r="AA247" t="s">
        <v>63</v>
      </c>
      <c r="AB247">
        <v>10</v>
      </c>
      <c r="AC247" t="s">
        <v>38</v>
      </c>
      <c r="AD247" t="s">
        <v>39</v>
      </c>
      <c r="AE247" t="s">
        <v>82</v>
      </c>
      <c r="AF247">
        <v>3</v>
      </c>
      <c r="AG247">
        <v>6</v>
      </c>
      <c r="AH247" t="s">
        <v>264</v>
      </c>
      <c r="AI247">
        <v>0</v>
      </c>
      <c r="AJ247">
        <v>2</v>
      </c>
    </row>
    <row r="248" spans="1:36">
      <c r="A248" t="s">
        <v>854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15</v>
      </c>
      <c r="N248" t="s">
        <v>16</v>
      </c>
      <c r="O248">
        <v>1801</v>
      </c>
      <c r="P248" s="1">
        <v>24995</v>
      </c>
      <c r="Q248" t="s">
        <v>44</v>
      </c>
      <c r="R248" t="s">
        <v>18</v>
      </c>
      <c r="S248" t="s">
        <v>19</v>
      </c>
      <c r="T248" t="s">
        <v>20</v>
      </c>
      <c r="U248" t="s">
        <v>71</v>
      </c>
      <c r="V248" s="1">
        <v>42467</v>
      </c>
      <c r="X248" t="s">
        <v>22</v>
      </c>
      <c r="Y248" t="s">
        <v>23</v>
      </c>
      <c r="Z248" t="s">
        <v>24</v>
      </c>
      <c r="AA248" t="s">
        <v>93</v>
      </c>
      <c r="AB248">
        <v>18</v>
      </c>
      <c r="AC248" t="s">
        <v>73</v>
      </c>
      <c r="AD248" t="s">
        <v>118</v>
      </c>
      <c r="AE248" t="s">
        <v>505</v>
      </c>
      <c r="AF248">
        <v>4</v>
      </c>
      <c r="AG248">
        <v>0</v>
      </c>
      <c r="AH248" t="s">
        <v>78</v>
      </c>
      <c r="AI248">
        <v>5</v>
      </c>
      <c r="AJ248">
        <v>4</v>
      </c>
    </row>
    <row r="249" spans="1:36">
      <c r="A249" t="s">
        <v>855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15</v>
      </c>
      <c r="N249" t="s">
        <v>16</v>
      </c>
      <c r="O249">
        <v>2148</v>
      </c>
      <c r="P249" t="s">
        <v>506</v>
      </c>
      <c r="Q249" t="s">
        <v>17</v>
      </c>
      <c r="R249" t="s">
        <v>18</v>
      </c>
      <c r="S249" t="s">
        <v>19</v>
      </c>
      <c r="T249" t="s">
        <v>20</v>
      </c>
      <c r="U249" t="s">
        <v>21</v>
      </c>
      <c r="V249" s="1">
        <v>39934</v>
      </c>
      <c r="W249" t="s">
        <v>507</v>
      </c>
      <c r="X249" t="s">
        <v>186</v>
      </c>
      <c r="Y249" t="s">
        <v>35</v>
      </c>
      <c r="Z249" t="s">
        <v>24</v>
      </c>
      <c r="AA249" t="s">
        <v>25</v>
      </c>
      <c r="AB249">
        <v>22</v>
      </c>
      <c r="AC249" t="s">
        <v>56</v>
      </c>
      <c r="AD249" t="s">
        <v>39</v>
      </c>
      <c r="AE249" t="s">
        <v>28</v>
      </c>
      <c r="AF249">
        <v>5</v>
      </c>
      <c r="AG249">
        <v>0</v>
      </c>
      <c r="AH249" s="1">
        <v>43222</v>
      </c>
      <c r="AI249">
        <v>0</v>
      </c>
      <c r="AJ249">
        <v>7</v>
      </c>
    </row>
    <row r="250" spans="1:36">
      <c r="A250" t="s">
        <v>856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42</v>
      </c>
      <c r="N250" t="s">
        <v>16</v>
      </c>
      <c r="O250">
        <v>2062</v>
      </c>
      <c r="P250" t="s">
        <v>508</v>
      </c>
      <c r="Q250" t="s">
        <v>17</v>
      </c>
      <c r="R250" t="s">
        <v>31</v>
      </c>
      <c r="S250" t="s">
        <v>19</v>
      </c>
      <c r="T250" t="s">
        <v>20</v>
      </c>
      <c r="U250" t="s">
        <v>21</v>
      </c>
      <c r="V250" t="s">
        <v>196</v>
      </c>
      <c r="X250" t="s">
        <v>22</v>
      </c>
      <c r="Y250" t="s">
        <v>23</v>
      </c>
      <c r="Z250" t="s">
        <v>24</v>
      </c>
      <c r="AA250" t="s">
        <v>93</v>
      </c>
      <c r="AB250">
        <v>18</v>
      </c>
      <c r="AC250" t="s">
        <v>117</v>
      </c>
      <c r="AD250" t="s">
        <v>39</v>
      </c>
      <c r="AE250" t="s">
        <v>199</v>
      </c>
      <c r="AF250">
        <v>3</v>
      </c>
      <c r="AG250">
        <v>0</v>
      </c>
      <c r="AH250" s="1">
        <v>43739</v>
      </c>
      <c r="AI250">
        <v>0</v>
      </c>
      <c r="AJ250">
        <v>13</v>
      </c>
    </row>
    <row r="251" spans="1:36">
      <c r="A251" t="s">
        <v>857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509</v>
      </c>
      <c r="N251" t="s">
        <v>16</v>
      </c>
      <c r="O251">
        <v>2452</v>
      </c>
      <c r="P251" t="s">
        <v>510</v>
      </c>
      <c r="Q251" t="s">
        <v>17</v>
      </c>
      <c r="R251" t="s">
        <v>53</v>
      </c>
      <c r="S251" t="s">
        <v>19</v>
      </c>
      <c r="T251" t="s">
        <v>20</v>
      </c>
      <c r="U251" t="s">
        <v>71</v>
      </c>
      <c r="V251" s="1">
        <v>42125</v>
      </c>
      <c r="W251" t="s">
        <v>511</v>
      </c>
      <c r="X251" t="s">
        <v>46</v>
      </c>
      <c r="Y251" t="s">
        <v>35</v>
      </c>
      <c r="Z251" t="s">
        <v>36</v>
      </c>
      <c r="AA251" t="s">
        <v>37</v>
      </c>
      <c r="AB251">
        <v>4</v>
      </c>
      <c r="AC251" t="s">
        <v>26</v>
      </c>
      <c r="AD251" t="s">
        <v>39</v>
      </c>
      <c r="AE251" t="s">
        <v>82</v>
      </c>
      <c r="AF251">
        <v>3</v>
      </c>
      <c r="AG251">
        <v>5</v>
      </c>
      <c r="AH251" t="s">
        <v>512</v>
      </c>
      <c r="AI251">
        <v>0</v>
      </c>
      <c r="AJ251">
        <v>2</v>
      </c>
    </row>
    <row r="252" spans="1:36">
      <c r="A252" t="s">
        <v>858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15</v>
      </c>
      <c r="N252" t="s">
        <v>16</v>
      </c>
      <c r="O252">
        <v>2154</v>
      </c>
      <c r="P252" s="1">
        <v>32423</v>
      </c>
      <c r="Q252" t="s">
        <v>44</v>
      </c>
      <c r="R252" t="s">
        <v>31</v>
      </c>
      <c r="S252" t="s">
        <v>19</v>
      </c>
      <c r="T252" t="s">
        <v>20</v>
      </c>
      <c r="U252" t="s">
        <v>71</v>
      </c>
      <c r="V252" t="s">
        <v>146</v>
      </c>
      <c r="X252" t="s">
        <v>22</v>
      </c>
      <c r="Y252" t="s">
        <v>23</v>
      </c>
      <c r="Z252" t="s">
        <v>24</v>
      </c>
      <c r="AA252" t="s">
        <v>51</v>
      </c>
      <c r="AB252">
        <v>16</v>
      </c>
      <c r="AC252" t="s">
        <v>26</v>
      </c>
      <c r="AD252" t="s">
        <v>39</v>
      </c>
      <c r="AE252" t="s">
        <v>513</v>
      </c>
      <c r="AF252">
        <v>3</v>
      </c>
      <c r="AG252">
        <v>0</v>
      </c>
      <c r="AH252" t="s">
        <v>78</v>
      </c>
      <c r="AI252">
        <v>0</v>
      </c>
      <c r="AJ252">
        <v>2</v>
      </c>
    </row>
    <row r="253" spans="1:36">
      <c r="A253" t="s">
        <v>859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15</v>
      </c>
      <c r="N253" t="s">
        <v>16</v>
      </c>
      <c r="O253">
        <v>2191</v>
      </c>
      <c r="P253" s="1">
        <v>27670</v>
      </c>
      <c r="Q253" t="s">
        <v>44</v>
      </c>
      <c r="R253" t="s">
        <v>18</v>
      </c>
      <c r="S253" t="s">
        <v>19</v>
      </c>
      <c r="T253" t="s">
        <v>20</v>
      </c>
      <c r="U253" t="s">
        <v>111</v>
      </c>
      <c r="V253" t="s">
        <v>67</v>
      </c>
      <c r="X253" t="s">
        <v>22</v>
      </c>
      <c r="Y253" t="s">
        <v>23</v>
      </c>
      <c r="Z253" t="s">
        <v>24</v>
      </c>
      <c r="AA253" t="s">
        <v>55</v>
      </c>
      <c r="AC253" t="s">
        <v>56</v>
      </c>
      <c r="AD253" t="s">
        <v>39</v>
      </c>
      <c r="AE253" t="s">
        <v>57</v>
      </c>
      <c r="AF253">
        <v>5</v>
      </c>
      <c r="AG253">
        <v>0</v>
      </c>
      <c r="AH253" s="1">
        <v>43618</v>
      </c>
      <c r="AI253">
        <v>0</v>
      </c>
      <c r="AJ253">
        <v>14</v>
      </c>
    </row>
    <row r="254" spans="1:36">
      <c r="A254" t="s">
        <v>860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281</v>
      </c>
      <c r="N254" t="s">
        <v>16</v>
      </c>
      <c r="O254">
        <v>1773</v>
      </c>
      <c r="P254" t="s">
        <v>514</v>
      </c>
      <c r="Q254" t="s">
        <v>44</v>
      </c>
      <c r="R254" t="s">
        <v>31</v>
      </c>
      <c r="S254" t="s">
        <v>19</v>
      </c>
      <c r="T254" t="s">
        <v>20</v>
      </c>
      <c r="U254" t="s">
        <v>21</v>
      </c>
      <c r="V254" t="s">
        <v>515</v>
      </c>
      <c r="X254" t="s">
        <v>22</v>
      </c>
      <c r="Y254" t="s">
        <v>23</v>
      </c>
      <c r="Z254" t="s">
        <v>36</v>
      </c>
      <c r="AA254" t="s">
        <v>77</v>
      </c>
      <c r="AB254">
        <v>7</v>
      </c>
      <c r="AC254" t="s">
        <v>26</v>
      </c>
      <c r="AD254" t="s">
        <v>39</v>
      </c>
      <c r="AE254" t="s">
        <v>516</v>
      </c>
      <c r="AF254">
        <v>3</v>
      </c>
      <c r="AG254">
        <v>6</v>
      </c>
      <c r="AH254" s="1">
        <v>43647</v>
      </c>
      <c r="AI254">
        <v>0</v>
      </c>
      <c r="AJ254">
        <v>7</v>
      </c>
    </row>
    <row r="255" spans="1:36">
      <c r="A255" t="s">
        <v>861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15</v>
      </c>
      <c r="N255" t="s">
        <v>16</v>
      </c>
      <c r="O255">
        <v>2149</v>
      </c>
      <c r="P255" t="s">
        <v>517</v>
      </c>
      <c r="Q255" t="s">
        <v>44</v>
      </c>
      <c r="R255" t="s">
        <v>31</v>
      </c>
      <c r="S255" t="s">
        <v>19</v>
      </c>
      <c r="T255" t="s">
        <v>20</v>
      </c>
      <c r="U255" t="s">
        <v>21</v>
      </c>
      <c r="V255" t="s">
        <v>114</v>
      </c>
      <c r="X255" t="s">
        <v>22</v>
      </c>
      <c r="Y255" t="s">
        <v>23</v>
      </c>
      <c r="Z255" t="s">
        <v>24</v>
      </c>
      <c r="AA255" t="s">
        <v>59</v>
      </c>
      <c r="AB255">
        <v>11</v>
      </c>
      <c r="AC255" t="s">
        <v>26</v>
      </c>
      <c r="AD255" t="s">
        <v>39</v>
      </c>
      <c r="AE255" t="s">
        <v>518</v>
      </c>
      <c r="AF255">
        <v>4</v>
      </c>
      <c r="AG255">
        <v>0</v>
      </c>
      <c r="AH255" t="s">
        <v>324</v>
      </c>
      <c r="AI255">
        <v>0</v>
      </c>
      <c r="AJ255">
        <v>15</v>
      </c>
    </row>
    <row r="256" spans="1:36">
      <c r="A256" t="s">
        <v>862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87</v>
      </c>
      <c r="N256" t="s">
        <v>16</v>
      </c>
      <c r="O256">
        <v>2110</v>
      </c>
      <c r="P256" s="1">
        <v>25782</v>
      </c>
      <c r="Q256" t="s">
        <v>17</v>
      </c>
      <c r="R256" t="s">
        <v>31</v>
      </c>
      <c r="S256" t="s">
        <v>19</v>
      </c>
      <c r="T256" t="s">
        <v>79</v>
      </c>
      <c r="U256" t="s">
        <v>21</v>
      </c>
      <c r="V256" s="1">
        <v>42125</v>
      </c>
      <c r="X256" t="s">
        <v>22</v>
      </c>
      <c r="Y256" t="s">
        <v>23</v>
      </c>
      <c r="Z256" t="s">
        <v>36</v>
      </c>
      <c r="AA256" t="s">
        <v>37</v>
      </c>
      <c r="AB256">
        <v>4</v>
      </c>
      <c r="AC256" t="s">
        <v>69</v>
      </c>
      <c r="AD256" t="s">
        <v>39</v>
      </c>
      <c r="AE256" t="s">
        <v>519</v>
      </c>
      <c r="AF256">
        <v>3</v>
      </c>
      <c r="AG256">
        <v>7</v>
      </c>
      <c r="AH256" t="s">
        <v>104</v>
      </c>
      <c r="AI256">
        <v>0</v>
      </c>
      <c r="AJ256">
        <v>16</v>
      </c>
    </row>
    <row r="257" spans="1:36">
      <c r="A257" t="s">
        <v>863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351</v>
      </c>
      <c r="N257" t="s">
        <v>16</v>
      </c>
      <c r="O257">
        <v>2330</v>
      </c>
      <c r="P257" t="s">
        <v>520</v>
      </c>
      <c r="Q257" t="s">
        <v>44</v>
      </c>
      <c r="R257" t="s">
        <v>18</v>
      </c>
      <c r="S257" t="s">
        <v>19</v>
      </c>
      <c r="T257" t="s">
        <v>20</v>
      </c>
      <c r="U257" t="s">
        <v>21</v>
      </c>
      <c r="V257" s="1">
        <v>42009</v>
      </c>
      <c r="X257" t="s">
        <v>22</v>
      </c>
      <c r="Y257" t="s">
        <v>23</v>
      </c>
      <c r="Z257" t="s">
        <v>131</v>
      </c>
      <c r="AA257" t="s">
        <v>132</v>
      </c>
      <c r="AB257">
        <v>1</v>
      </c>
      <c r="AC257" t="s">
        <v>244</v>
      </c>
      <c r="AD257" t="s">
        <v>39</v>
      </c>
      <c r="AE257" t="s">
        <v>57</v>
      </c>
      <c r="AF257">
        <v>3</v>
      </c>
      <c r="AG257">
        <v>5</v>
      </c>
      <c r="AH257" t="s">
        <v>144</v>
      </c>
      <c r="AI257">
        <v>0</v>
      </c>
      <c r="AJ257">
        <v>2</v>
      </c>
    </row>
    <row r="258" spans="1:36">
      <c r="A258" t="s">
        <v>864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42</v>
      </c>
      <c r="N258" t="s">
        <v>16</v>
      </c>
      <c r="O258">
        <v>1851</v>
      </c>
      <c r="P258" t="s">
        <v>521</v>
      </c>
      <c r="Q258" t="s">
        <v>44</v>
      </c>
      <c r="R258" t="s">
        <v>18</v>
      </c>
      <c r="S258" t="s">
        <v>19</v>
      </c>
      <c r="T258" t="s">
        <v>20</v>
      </c>
      <c r="U258" t="s">
        <v>21</v>
      </c>
      <c r="V258" t="s">
        <v>522</v>
      </c>
      <c r="W258" s="1">
        <v>42220</v>
      </c>
      <c r="X258" t="s">
        <v>370</v>
      </c>
      <c r="Y258" t="s">
        <v>35</v>
      </c>
      <c r="Z258" t="s">
        <v>24</v>
      </c>
      <c r="AA258" t="s">
        <v>25</v>
      </c>
      <c r="AB258">
        <v>22</v>
      </c>
      <c r="AC258" t="s">
        <v>117</v>
      </c>
      <c r="AD258" t="s">
        <v>39</v>
      </c>
      <c r="AE258" t="s">
        <v>523</v>
      </c>
      <c r="AF258">
        <v>4</v>
      </c>
      <c r="AG258">
        <v>0</v>
      </c>
      <c r="AH258" s="1">
        <v>42039</v>
      </c>
      <c r="AI258">
        <v>0</v>
      </c>
      <c r="AJ258">
        <v>20</v>
      </c>
    </row>
    <row r="259" spans="1:36">
      <c r="A259" t="s">
        <v>865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42</v>
      </c>
      <c r="N259" t="s">
        <v>16</v>
      </c>
      <c r="O259">
        <v>2045</v>
      </c>
      <c r="P259" t="s">
        <v>524</v>
      </c>
      <c r="Q259" t="s">
        <v>17</v>
      </c>
      <c r="R259" t="s">
        <v>18</v>
      </c>
      <c r="S259" t="s">
        <v>19</v>
      </c>
      <c r="T259" t="s">
        <v>20</v>
      </c>
      <c r="U259" t="s">
        <v>21</v>
      </c>
      <c r="V259" t="s">
        <v>146</v>
      </c>
      <c r="X259" t="s">
        <v>22</v>
      </c>
      <c r="Y259" t="s">
        <v>23</v>
      </c>
      <c r="Z259" t="s">
        <v>24</v>
      </c>
      <c r="AA259" t="s">
        <v>51</v>
      </c>
      <c r="AB259">
        <v>16</v>
      </c>
      <c r="AC259" t="s">
        <v>38</v>
      </c>
      <c r="AD259" t="s">
        <v>27</v>
      </c>
      <c r="AE259" t="s">
        <v>187</v>
      </c>
      <c r="AF259">
        <v>3</v>
      </c>
      <c r="AG259">
        <v>0</v>
      </c>
      <c r="AH259" t="s">
        <v>213</v>
      </c>
      <c r="AI259">
        <v>0</v>
      </c>
      <c r="AJ259">
        <v>4</v>
      </c>
    </row>
    <row r="260" spans="1:36">
      <c r="A260" t="s">
        <v>866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215</v>
      </c>
      <c r="N260" t="s">
        <v>16</v>
      </c>
      <c r="O260">
        <v>1886</v>
      </c>
      <c r="P260" t="s">
        <v>525</v>
      </c>
      <c r="Q260" t="s">
        <v>17</v>
      </c>
      <c r="R260" t="s">
        <v>53</v>
      </c>
      <c r="S260" t="s">
        <v>19</v>
      </c>
      <c r="T260" t="s">
        <v>20</v>
      </c>
      <c r="U260" t="s">
        <v>71</v>
      </c>
      <c r="V260" t="s">
        <v>526</v>
      </c>
      <c r="X260" t="s">
        <v>22</v>
      </c>
      <c r="Y260" t="s">
        <v>23</v>
      </c>
      <c r="Z260" t="s">
        <v>154</v>
      </c>
      <c r="AA260" t="s">
        <v>217</v>
      </c>
      <c r="AB260">
        <v>15</v>
      </c>
      <c r="AC260" t="s">
        <v>73</v>
      </c>
      <c r="AD260" t="s">
        <v>118</v>
      </c>
      <c r="AE260" t="s">
        <v>462</v>
      </c>
      <c r="AF260">
        <v>4</v>
      </c>
      <c r="AG260">
        <v>0</v>
      </c>
      <c r="AH260" t="s">
        <v>300</v>
      </c>
      <c r="AI260">
        <v>2</v>
      </c>
      <c r="AJ260">
        <v>16</v>
      </c>
    </row>
    <row r="261" spans="1:36">
      <c r="A261" t="s">
        <v>867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351</v>
      </c>
      <c r="N261" t="s">
        <v>16</v>
      </c>
      <c r="O261">
        <v>1844</v>
      </c>
      <c r="P261" t="s">
        <v>394</v>
      </c>
      <c r="Q261" t="s">
        <v>44</v>
      </c>
      <c r="R261" t="s">
        <v>31</v>
      </c>
      <c r="S261" t="s">
        <v>19</v>
      </c>
      <c r="T261" t="s">
        <v>20</v>
      </c>
      <c r="U261" t="s">
        <v>71</v>
      </c>
      <c r="V261" t="s">
        <v>197</v>
      </c>
      <c r="W261" t="s">
        <v>527</v>
      </c>
      <c r="X261" t="s">
        <v>34</v>
      </c>
      <c r="Y261" t="s">
        <v>35</v>
      </c>
      <c r="Z261" t="s">
        <v>131</v>
      </c>
      <c r="AA261" t="s">
        <v>132</v>
      </c>
      <c r="AB261">
        <v>1</v>
      </c>
      <c r="AC261" t="s">
        <v>73</v>
      </c>
      <c r="AD261" t="s">
        <v>39</v>
      </c>
      <c r="AE261" t="s">
        <v>178</v>
      </c>
      <c r="AF261">
        <v>4</v>
      </c>
      <c r="AG261">
        <v>4</v>
      </c>
      <c r="AH261" t="s">
        <v>528</v>
      </c>
      <c r="AI261">
        <v>0</v>
      </c>
      <c r="AJ261">
        <v>17</v>
      </c>
    </row>
    <row r="262" spans="1:36">
      <c r="A262" t="s">
        <v>868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15</v>
      </c>
      <c r="N262" t="s">
        <v>16</v>
      </c>
      <c r="O262">
        <v>2130</v>
      </c>
      <c r="P262" s="1">
        <v>23775</v>
      </c>
      <c r="Q262" t="s">
        <v>44</v>
      </c>
      <c r="R262" t="s">
        <v>18</v>
      </c>
      <c r="S262" t="s">
        <v>19</v>
      </c>
      <c r="T262" t="s">
        <v>20</v>
      </c>
      <c r="U262" t="s">
        <v>21</v>
      </c>
      <c r="V262" s="1">
        <v>41589</v>
      </c>
      <c r="X262" t="s">
        <v>22</v>
      </c>
      <c r="Y262" t="s">
        <v>23</v>
      </c>
      <c r="Z262" t="s">
        <v>24</v>
      </c>
      <c r="AA262" t="s">
        <v>68</v>
      </c>
      <c r="AB262">
        <v>19</v>
      </c>
      <c r="AC262" t="s">
        <v>69</v>
      </c>
      <c r="AD262" t="s">
        <v>39</v>
      </c>
      <c r="AE262" t="s">
        <v>299</v>
      </c>
      <c r="AF262">
        <v>3</v>
      </c>
      <c r="AG262">
        <v>0</v>
      </c>
      <c r="AH262" t="s">
        <v>219</v>
      </c>
      <c r="AI262">
        <v>0</v>
      </c>
      <c r="AJ262">
        <v>16</v>
      </c>
    </row>
    <row r="263" spans="1:36">
      <c r="A263" t="s">
        <v>869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76</v>
      </c>
      <c r="N263" t="s">
        <v>16</v>
      </c>
      <c r="O263">
        <v>2360</v>
      </c>
      <c r="P263" s="1">
        <v>27001</v>
      </c>
      <c r="Q263" t="s">
        <v>44</v>
      </c>
      <c r="R263" t="s">
        <v>31</v>
      </c>
      <c r="S263" t="s">
        <v>19</v>
      </c>
      <c r="T263" t="s">
        <v>20</v>
      </c>
      <c r="U263" t="s">
        <v>71</v>
      </c>
      <c r="V263" s="1">
        <v>40822</v>
      </c>
      <c r="X263" t="s">
        <v>22</v>
      </c>
      <c r="Y263" t="s">
        <v>23</v>
      </c>
      <c r="Z263" t="s">
        <v>36</v>
      </c>
      <c r="AA263" t="s">
        <v>191</v>
      </c>
      <c r="AB263">
        <v>6</v>
      </c>
      <c r="AC263" t="s">
        <v>26</v>
      </c>
      <c r="AD263" t="s">
        <v>39</v>
      </c>
      <c r="AE263" t="s">
        <v>187</v>
      </c>
      <c r="AF263">
        <v>3</v>
      </c>
      <c r="AG263">
        <v>5</v>
      </c>
      <c r="AH263" s="1">
        <v>43679</v>
      </c>
      <c r="AI263">
        <v>0</v>
      </c>
      <c r="AJ263">
        <v>19</v>
      </c>
    </row>
    <row r="264" spans="1:36">
      <c r="A264" t="s">
        <v>870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214</v>
      </c>
      <c r="N264" t="s">
        <v>16</v>
      </c>
      <c r="O264">
        <v>1545</v>
      </c>
      <c r="P264" s="1">
        <v>30561</v>
      </c>
      <c r="Q264" t="s">
        <v>17</v>
      </c>
      <c r="R264" t="s">
        <v>31</v>
      </c>
      <c r="S264" t="s">
        <v>19</v>
      </c>
      <c r="T264" t="s">
        <v>20</v>
      </c>
      <c r="U264" t="s">
        <v>111</v>
      </c>
      <c r="V264" t="s">
        <v>170</v>
      </c>
      <c r="X264" t="s">
        <v>22</v>
      </c>
      <c r="Y264" t="s">
        <v>23</v>
      </c>
      <c r="Z264" t="s">
        <v>36</v>
      </c>
      <c r="AA264" t="s">
        <v>77</v>
      </c>
      <c r="AB264">
        <v>7</v>
      </c>
      <c r="AC264" t="s">
        <v>26</v>
      </c>
      <c r="AD264" t="s">
        <v>39</v>
      </c>
      <c r="AE264" t="s">
        <v>529</v>
      </c>
      <c r="AF264">
        <v>4</v>
      </c>
      <c r="AG264">
        <v>5</v>
      </c>
      <c r="AH264" t="s">
        <v>104</v>
      </c>
      <c r="AI264">
        <v>0</v>
      </c>
      <c r="AJ264">
        <v>13</v>
      </c>
    </row>
    <row r="265" spans="1:36">
      <c r="A265" t="s">
        <v>871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15</v>
      </c>
      <c r="N265" t="s">
        <v>16</v>
      </c>
      <c r="O265">
        <v>2093</v>
      </c>
      <c r="P265" t="s">
        <v>530</v>
      </c>
      <c r="Q265" t="s">
        <v>44</v>
      </c>
      <c r="R265" t="s">
        <v>31</v>
      </c>
      <c r="S265" t="s">
        <v>19</v>
      </c>
      <c r="T265" t="s">
        <v>20</v>
      </c>
      <c r="U265" t="s">
        <v>21</v>
      </c>
      <c r="V265" t="s">
        <v>92</v>
      </c>
      <c r="X265" t="s">
        <v>22</v>
      </c>
      <c r="Y265" t="s">
        <v>23</v>
      </c>
      <c r="Z265" t="s">
        <v>24</v>
      </c>
      <c r="AA265" t="s">
        <v>72</v>
      </c>
      <c r="AB265">
        <v>12</v>
      </c>
      <c r="AC265" t="s">
        <v>38</v>
      </c>
      <c r="AD265" t="s">
        <v>230</v>
      </c>
      <c r="AE265" t="s">
        <v>462</v>
      </c>
      <c r="AF265">
        <v>2</v>
      </c>
      <c r="AG265">
        <v>1</v>
      </c>
      <c r="AH265" t="s">
        <v>70</v>
      </c>
      <c r="AI265">
        <v>6</v>
      </c>
      <c r="AJ265">
        <v>20</v>
      </c>
    </row>
    <row r="266" spans="1:36">
      <c r="A266" t="s">
        <v>872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133</v>
      </c>
      <c r="N266" t="s">
        <v>16</v>
      </c>
      <c r="O266">
        <v>2451</v>
      </c>
      <c r="P266" t="s">
        <v>531</v>
      </c>
      <c r="Q266" t="s">
        <v>44</v>
      </c>
      <c r="R266" t="s">
        <v>31</v>
      </c>
      <c r="S266" t="s">
        <v>19</v>
      </c>
      <c r="T266" t="s">
        <v>20</v>
      </c>
      <c r="U266" t="s">
        <v>21</v>
      </c>
      <c r="V266" s="1">
        <v>40949</v>
      </c>
      <c r="X266" t="s">
        <v>22</v>
      </c>
      <c r="Y266" t="s">
        <v>23</v>
      </c>
      <c r="Z266" t="s">
        <v>24</v>
      </c>
      <c r="AA266" t="s">
        <v>135</v>
      </c>
      <c r="AB266">
        <v>2</v>
      </c>
      <c r="AC266" t="s">
        <v>26</v>
      </c>
      <c r="AD266" t="s">
        <v>39</v>
      </c>
      <c r="AE266" t="s">
        <v>379</v>
      </c>
      <c r="AF266">
        <v>5</v>
      </c>
      <c r="AG266">
        <v>0</v>
      </c>
      <c r="AH266" t="s">
        <v>94</v>
      </c>
      <c r="AI266">
        <v>0</v>
      </c>
      <c r="AJ266">
        <v>15</v>
      </c>
    </row>
    <row r="267" spans="1:36">
      <c r="A267" t="s">
        <v>873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15</v>
      </c>
      <c r="N267" t="s">
        <v>16</v>
      </c>
      <c r="O267">
        <v>2359</v>
      </c>
      <c r="P267" t="s">
        <v>532</v>
      </c>
      <c r="Q267" t="s">
        <v>44</v>
      </c>
      <c r="R267" t="s">
        <v>53</v>
      </c>
      <c r="S267" t="s">
        <v>19</v>
      </c>
      <c r="T267" t="s">
        <v>20</v>
      </c>
      <c r="U267" t="s">
        <v>21</v>
      </c>
      <c r="V267" t="s">
        <v>436</v>
      </c>
      <c r="W267" t="s">
        <v>533</v>
      </c>
      <c r="X267" t="s">
        <v>86</v>
      </c>
      <c r="Y267" t="s">
        <v>35</v>
      </c>
      <c r="Z267" t="s">
        <v>24</v>
      </c>
      <c r="AA267" t="s">
        <v>81</v>
      </c>
      <c r="AB267">
        <v>14</v>
      </c>
      <c r="AC267" t="s">
        <v>26</v>
      </c>
      <c r="AD267" t="s">
        <v>27</v>
      </c>
      <c r="AE267" t="s">
        <v>199</v>
      </c>
      <c r="AF267">
        <v>4</v>
      </c>
      <c r="AG267">
        <v>0</v>
      </c>
      <c r="AH267" s="1">
        <v>42038</v>
      </c>
      <c r="AI267">
        <v>0</v>
      </c>
      <c r="AJ267">
        <v>16</v>
      </c>
    </row>
    <row r="268" spans="1:36">
      <c r="A268" t="s">
        <v>874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15</v>
      </c>
      <c r="N268" t="s">
        <v>16</v>
      </c>
      <c r="O268">
        <v>2050</v>
      </c>
      <c r="P268" t="s">
        <v>534</v>
      </c>
      <c r="Q268" t="s">
        <v>44</v>
      </c>
      <c r="R268" t="s">
        <v>53</v>
      </c>
      <c r="S268" t="s">
        <v>19</v>
      </c>
      <c r="T268" t="s">
        <v>20</v>
      </c>
      <c r="U268" t="s">
        <v>91</v>
      </c>
      <c r="V268" s="1">
        <v>40817</v>
      </c>
      <c r="X268" t="s">
        <v>22</v>
      </c>
      <c r="Y268" t="s">
        <v>23</v>
      </c>
      <c r="Z268" t="s">
        <v>24</v>
      </c>
      <c r="AA268" t="s">
        <v>47</v>
      </c>
      <c r="AB268">
        <v>20</v>
      </c>
      <c r="AC268" t="s">
        <v>56</v>
      </c>
      <c r="AD268" t="s">
        <v>39</v>
      </c>
      <c r="AE268" t="s">
        <v>199</v>
      </c>
      <c r="AF268">
        <v>4</v>
      </c>
      <c r="AG268">
        <v>0</v>
      </c>
      <c r="AH268" s="1">
        <v>43648</v>
      </c>
      <c r="AI268">
        <v>0</v>
      </c>
      <c r="AJ268">
        <v>9</v>
      </c>
    </row>
    <row r="269" spans="1:36">
      <c r="A269" t="s">
        <v>875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151</v>
      </c>
      <c r="N269" t="s">
        <v>535</v>
      </c>
      <c r="O269">
        <v>89139</v>
      </c>
      <c r="P269" s="1">
        <v>27277</v>
      </c>
      <c r="Q269" t="s">
        <v>17</v>
      </c>
      <c r="R269" t="s">
        <v>31</v>
      </c>
      <c r="S269" t="s">
        <v>19</v>
      </c>
      <c r="T269" t="s">
        <v>20</v>
      </c>
      <c r="U269" t="s">
        <v>21</v>
      </c>
      <c r="V269" s="1">
        <v>41978</v>
      </c>
      <c r="X269" t="s">
        <v>22</v>
      </c>
      <c r="Y269" t="s">
        <v>23</v>
      </c>
      <c r="Z269" t="s">
        <v>154</v>
      </c>
      <c r="AA269" t="s">
        <v>180</v>
      </c>
      <c r="AB269">
        <v>21</v>
      </c>
      <c r="AC269" t="s">
        <v>244</v>
      </c>
      <c r="AD269" t="s">
        <v>230</v>
      </c>
      <c r="AE269" t="s">
        <v>536</v>
      </c>
      <c r="AF269">
        <v>2</v>
      </c>
      <c r="AG269">
        <v>0</v>
      </c>
      <c r="AH269" t="s">
        <v>29</v>
      </c>
      <c r="AI269">
        <v>3</v>
      </c>
      <c r="AJ269">
        <v>5</v>
      </c>
    </row>
    <row r="270" spans="1:36">
      <c r="A270" t="s">
        <v>876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141</v>
      </c>
      <c r="N270" t="s">
        <v>16</v>
      </c>
      <c r="O270">
        <v>2703</v>
      </c>
      <c r="P270" s="1">
        <v>31421</v>
      </c>
      <c r="Q270" t="s">
        <v>17</v>
      </c>
      <c r="R270" t="s">
        <v>18</v>
      </c>
      <c r="S270" t="s">
        <v>19</v>
      </c>
      <c r="T270" t="s">
        <v>20</v>
      </c>
      <c r="U270" t="s">
        <v>21</v>
      </c>
      <c r="V270" t="s">
        <v>146</v>
      </c>
      <c r="X270" t="s">
        <v>22</v>
      </c>
      <c r="Y270" t="s">
        <v>23</v>
      </c>
      <c r="Z270" t="s">
        <v>131</v>
      </c>
      <c r="AA270" t="s">
        <v>132</v>
      </c>
      <c r="AB270">
        <v>1</v>
      </c>
      <c r="AC270" t="s">
        <v>38</v>
      </c>
      <c r="AD270" t="s">
        <v>39</v>
      </c>
      <c r="AE270" t="s">
        <v>310</v>
      </c>
      <c r="AF270">
        <v>5</v>
      </c>
      <c r="AG270">
        <v>5</v>
      </c>
      <c r="AH270" t="s">
        <v>248</v>
      </c>
      <c r="AI270">
        <v>0</v>
      </c>
      <c r="AJ270">
        <v>9</v>
      </c>
    </row>
    <row r="271" spans="1:36">
      <c r="A271" t="s">
        <v>877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15</v>
      </c>
      <c r="N271" t="s">
        <v>16</v>
      </c>
      <c r="O271">
        <v>2301</v>
      </c>
      <c r="P271" t="s">
        <v>537</v>
      </c>
      <c r="Q271" t="s">
        <v>17</v>
      </c>
      <c r="R271" t="s">
        <v>31</v>
      </c>
      <c r="S271" t="s">
        <v>19</v>
      </c>
      <c r="T271" t="s">
        <v>20</v>
      </c>
      <c r="U271" t="s">
        <v>111</v>
      </c>
      <c r="V271" t="s">
        <v>125</v>
      </c>
      <c r="X271" t="s">
        <v>22</v>
      </c>
      <c r="Y271" t="s">
        <v>23</v>
      </c>
      <c r="Z271" t="s">
        <v>24</v>
      </c>
      <c r="AA271" t="s">
        <v>93</v>
      </c>
      <c r="AB271">
        <v>18</v>
      </c>
      <c r="AC271" t="s">
        <v>26</v>
      </c>
      <c r="AD271" t="s">
        <v>39</v>
      </c>
      <c r="AE271" t="s">
        <v>192</v>
      </c>
      <c r="AF271">
        <v>3</v>
      </c>
      <c r="AG271">
        <v>0</v>
      </c>
      <c r="AH271" s="1">
        <v>43770</v>
      </c>
      <c r="AI271">
        <v>0</v>
      </c>
      <c r="AJ271">
        <v>4</v>
      </c>
    </row>
    <row r="272" spans="1:36">
      <c r="A272" t="s">
        <v>878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151</v>
      </c>
      <c r="N272" t="s">
        <v>538</v>
      </c>
      <c r="O272">
        <v>59102</v>
      </c>
      <c r="P272" s="1">
        <v>32847</v>
      </c>
      <c r="Q272" t="s">
        <v>44</v>
      </c>
      <c r="R272" t="s">
        <v>31</v>
      </c>
      <c r="S272" t="s">
        <v>19</v>
      </c>
      <c r="T272" t="s">
        <v>20</v>
      </c>
      <c r="U272" t="s">
        <v>71</v>
      </c>
      <c r="V272" t="s">
        <v>539</v>
      </c>
      <c r="X272" t="s">
        <v>22</v>
      </c>
      <c r="Y272" t="s">
        <v>23</v>
      </c>
      <c r="Z272" t="s">
        <v>154</v>
      </c>
      <c r="AA272" t="s">
        <v>155</v>
      </c>
      <c r="AB272">
        <v>17</v>
      </c>
      <c r="AC272" t="s">
        <v>38</v>
      </c>
      <c r="AD272" t="s">
        <v>39</v>
      </c>
      <c r="AE272" t="s">
        <v>199</v>
      </c>
      <c r="AF272">
        <v>4</v>
      </c>
      <c r="AG272">
        <v>0</v>
      </c>
      <c r="AH272" t="s">
        <v>226</v>
      </c>
      <c r="AI272">
        <v>0</v>
      </c>
      <c r="AJ272">
        <v>18</v>
      </c>
    </row>
    <row r="273" spans="1:36">
      <c r="A273" t="s">
        <v>879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133</v>
      </c>
      <c r="N273" t="s">
        <v>16</v>
      </c>
      <c r="O273">
        <v>1776</v>
      </c>
      <c r="P273" t="s">
        <v>540</v>
      </c>
      <c r="Q273" t="s">
        <v>44</v>
      </c>
      <c r="R273" t="s">
        <v>31</v>
      </c>
      <c r="S273" t="s">
        <v>19</v>
      </c>
      <c r="T273" t="s">
        <v>20</v>
      </c>
      <c r="U273" t="s">
        <v>71</v>
      </c>
      <c r="V273" s="1">
        <v>40026</v>
      </c>
      <c r="X273" t="s">
        <v>22</v>
      </c>
      <c r="Y273" t="s">
        <v>23</v>
      </c>
      <c r="Z273" t="s">
        <v>24</v>
      </c>
      <c r="AA273" t="s">
        <v>135</v>
      </c>
      <c r="AB273">
        <v>2</v>
      </c>
      <c r="AC273" t="s">
        <v>38</v>
      </c>
      <c r="AD273" t="s">
        <v>39</v>
      </c>
      <c r="AE273" t="s">
        <v>299</v>
      </c>
      <c r="AF273">
        <v>4</v>
      </c>
      <c r="AG273">
        <v>0</v>
      </c>
      <c r="AH273" t="s">
        <v>219</v>
      </c>
      <c r="AI273">
        <v>0</v>
      </c>
      <c r="AJ273">
        <v>12</v>
      </c>
    </row>
    <row r="274" spans="1:36">
      <c r="A274" t="s">
        <v>880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15</v>
      </c>
      <c r="N274" t="s">
        <v>16</v>
      </c>
      <c r="O274">
        <v>2747</v>
      </c>
      <c r="P274" s="1">
        <v>30142</v>
      </c>
      <c r="Q274" t="s">
        <v>17</v>
      </c>
      <c r="R274" t="s">
        <v>31</v>
      </c>
      <c r="S274" t="s">
        <v>19</v>
      </c>
      <c r="T274" t="s">
        <v>79</v>
      </c>
      <c r="U274" t="s">
        <v>21</v>
      </c>
      <c r="V274" s="1">
        <v>42125</v>
      </c>
      <c r="X274" t="s">
        <v>22</v>
      </c>
      <c r="Y274" t="s">
        <v>23</v>
      </c>
      <c r="Z274" t="s">
        <v>24</v>
      </c>
      <c r="AA274" t="s">
        <v>25</v>
      </c>
      <c r="AB274">
        <v>22</v>
      </c>
      <c r="AC274" t="s">
        <v>56</v>
      </c>
      <c r="AD274" t="s">
        <v>39</v>
      </c>
      <c r="AE274" t="s">
        <v>489</v>
      </c>
      <c r="AF274">
        <v>5</v>
      </c>
      <c r="AG274">
        <v>0</v>
      </c>
      <c r="AH274" t="s">
        <v>219</v>
      </c>
      <c r="AI274">
        <v>0</v>
      </c>
      <c r="AJ274">
        <v>10</v>
      </c>
    </row>
    <row r="275" spans="1:36">
      <c r="A275" t="s">
        <v>881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15</v>
      </c>
      <c r="N275" t="s">
        <v>16</v>
      </c>
      <c r="O275">
        <v>2718</v>
      </c>
      <c r="P275" t="s">
        <v>541</v>
      </c>
      <c r="Q275" t="s">
        <v>44</v>
      </c>
      <c r="R275" t="s">
        <v>18</v>
      </c>
      <c r="S275" t="s">
        <v>106</v>
      </c>
      <c r="T275" t="s">
        <v>20</v>
      </c>
      <c r="U275" t="s">
        <v>111</v>
      </c>
      <c r="V275" t="s">
        <v>179</v>
      </c>
      <c r="X275" t="s">
        <v>22</v>
      </c>
      <c r="Y275" t="s">
        <v>23</v>
      </c>
      <c r="Z275" t="s">
        <v>24</v>
      </c>
      <c r="AA275" t="s">
        <v>51</v>
      </c>
      <c r="AB275">
        <v>16</v>
      </c>
      <c r="AC275" t="s">
        <v>38</v>
      </c>
      <c r="AD275" t="s">
        <v>39</v>
      </c>
      <c r="AE275" t="s">
        <v>249</v>
      </c>
      <c r="AF275">
        <v>5</v>
      </c>
      <c r="AG275">
        <v>0</v>
      </c>
      <c r="AH275" t="s">
        <v>226</v>
      </c>
      <c r="AI275">
        <v>0</v>
      </c>
      <c r="AJ275">
        <v>13</v>
      </c>
    </row>
    <row r="276" spans="1:36">
      <c r="A276" t="s">
        <v>882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60</v>
      </c>
      <c r="N276" t="s">
        <v>16</v>
      </c>
      <c r="O276">
        <v>2140</v>
      </c>
      <c r="P276" s="1">
        <v>30472</v>
      </c>
      <c r="Q276" t="s">
        <v>17</v>
      </c>
      <c r="R276" t="s">
        <v>18</v>
      </c>
      <c r="S276" t="s">
        <v>19</v>
      </c>
      <c r="T276" t="s">
        <v>20</v>
      </c>
      <c r="U276" t="s">
        <v>21</v>
      </c>
      <c r="V276" s="1">
        <v>41827</v>
      </c>
      <c r="X276" t="s">
        <v>22</v>
      </c>
      <c r="Y276" t="s">
        <v>23</v>
      </c>
      <c r="Z276" t="s">
        <v>62</v>
      </c>
      <c r="AA276" t="s">
        <v>63</v>
      </c>
      <c r="AB276">
        <v>10</v>
      </c>
      <c r="AC276" t="s">
        <v>26</v>
      </c>
      <c r="AD276" t="s">
        <v>27</v>
      </c>
      <c r="AE276" t="s">
        <v>109</v>
      </c>
      <c r="AF276">
        <v>5</v>
      </c>
      <c r="AG276">
        <v>5</v>
      </c>
      <c r="AH276" t="s">
        <v>78</v>
      </c>
      <c r="AI276">
        <v>0</v>
      </c>
      <c r="AJ276">
        <v>1</v>
      </c>
    </row>
    <row r="277" spans="1:36">
      <c r="A277" t="s">
        <v>883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236</v>
      </c>
      <c r="N277" t="s">
        <v>16</v>
      </c>
      <c r="O277">
        <v>2134</v>
      </c>
      <c r="P277" t="s">
        <v>542</v>
      </c>
      <c r="Q277" t="s">
        <v>17</v>
      </c>
      <c r="R277" t="s">
        <v>31</v>
      </c>
      <c r="S277" t="s">
        <v>19</v>
      </c>
      <c r="T277" t="s">
        <v>20</v>
      </c>
      <c r="U277" t="s">
        <v>21</v>
      </c>
      <c r="V277" t="s">
        <v>328</v>
      </c>
      <c r="X277" t="s">
        <v>22</v>
      </c>
      <c r="Y277" t="s">
        <v>23</v>
      </c>
      <c r="Z277" t="s">
        <v>36</v>
      </c>
      <c r="AA277" t="s">
        <v>238</v>
      </c>
      <c r="AB277">
        <v>13</v>
      </c>
      <c r="AC277" t="s">
        <v>38</v>
      </c>
      <c r="AD277" t="s">
        <v>39</v>
      </c>
      <c r="AE277" t="s">
        <v>249</v>
      </c>
      <c r="AF277">
        <v>3</v>
      </c>
      <c r="AG277">
        <v>6</v>
      </c>
      <c r="AH277" s="1">
        <v>43497</v>
      </c>
      <c r="AI277">
        <v>0</v>
      </c>
      <c r="AJ277">
        <v>14</v>
      </c>
    </row>
    <row r="278" spans="1:36">
      <c r="A278" t="s">
        <v>884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15</v>
      </c>
      <c r="N278" t="s">
        <v>16</v>
      </c>
      <c r="O278">
        <v>1801</v>
      </c>
      <c r="P278" s="1">
        <v>27457</v>
      </c>
      <c r="Q278" t="s">
        <v>44</v>
      </c>
      <c r="R278" t="s">
        <v>31</v>
      </c>
      <c r="S278" t="s">
        <v>189</v>
      </c>
      <c r="T278" t="s">
        <v>20</v>
      </c>
      <c r="U278" t="s">
        <v>71</v>
      </c>
      <c r="V278" t="s">
        <v>543</v>
      </c>
      <c r="W278" s="1">
        <v>41278</v>
      </c>
      <c r="X278" t="s">
        <v>80</v>
      </c>
      <c r="Y278" t="s">
        <v>35</v>
      </c>
      <c r="Z278" t="s">
        <v>24</v>
      </c>
      <c r="AA278" t="s">
        <v>55</v>
      </c>
      <c r="AB278">
        <v>39</v>
      </c>
      <c r="AC278" t="s">
        <v>73</v>
      </c>
      <c r="AD278" t="s">
        <v>39</v>
      </c>
      <c r="AE278" t="s">
        <v>109</v>
      </c>
      <c r="AF278">
        <v>5</v>
      </c>
      <c r="AG278">
        <v>0</v>
      </c>
      <c r="AH278" t="s">
        <v>433</v>
      </c>
      <c r="AI278">
        <v>0</v>
      </c>
      <c r="AJ278">
        <v>11</v>
      </c>
    </row>
    <row r="279" spans="1:36">
      <c r="A279" t="s">
        <v>885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42</v>
      </c>
      <c r="N279" t="s">
        <v>16</v>
      </c>
      <c r="O279">
        <v>2129</v>
      </c>
      <c r="P279" t="s">
        <v>544</v>
      </c>
      <c r="Q279" t="s">
        <v>44</v>
      </c>
      <c r="R279" t="s">
        <v>31</v>
      </c>
      <c r="S279" t="s">
        <v>19</v>
      </c>
      <c r="T279" t="s">
        <v>20</v>
      </c>
      <c r="U279" t="s">
        <v>21</v>
      </c>
      <c r="V279" t="s">
        <v>194</v>
      </c>
      <c r="W279" s="1">
        <v>42954</v>
      </c>
      <c r="X279" t="s">
        <v>80</v>
      </c>
      <c r="Y279" t="s">
        <v>35</v>
      </c>
      <c r="Z279" t="s">
        <v>24</v>
      </c>
      <c r="AA279" t="s">
        <v>51</v>
      </c>
      <c r="AB279">
        <v>16</v>
      </c>
      <c r="AC279" t="s">
        <v>56</v>
      </c>
      <c r="AD279" t="s">
        <v>39</v>
      </c>
      <c r="AE279" t="s">
        <v>422</v>
      </c>
      <c r="AF279">
        <v>3</v>
      </c>
      <c r="AG279">
        <v>0</v>
      </c>
      <c r="AH279" t="s">
        <v>545</v>
      </c>
      <c r="AI279">
        <v>0</v>
      </c>
      <c r="AJ279">
        <v>3</v>
      </c>
    </row>
    <row r="280" spans="1:36">
      <c r="A280" t="s">
        <v>886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151</v>
      </c>
      <c r="N280" t="s">
        <v>546</v>
      </c>
      <c r="O280">
        <v>97756</v>
      </c>
      <c r="P280" s="1">
        <v>23928</v>
      </c>
      <c r="Q280" t="s">
        <v>44</v>
      </c>
      <c r="R280" t="s">
        <v>18</v>
      </c>
      <c r="S280" t="s">
        <v>19</v>
      </c>
      <c r="T280" t="s">
        <v>20</v>
      </c>
      <c r="U280" t="s">
        <v>71</v>
      </c>
      <c r="V280" t="s">
        <v>146</v>
      </c>
      <c r="X280" t="s">
        <v>22</v>
      </c>
      <c r="Y280" t="s">
        <v>23</v>
      </c>
      <c r="Z280" t="s">
        <v>154</v>
      </c>
      <c r="AA280" t="s">
        <v>180</v>
      </c>
      <c r="AB280">
        <v>21</v>
      </c>
      <c r="AC280" t="s">
        <v>38</v>
      </c>
      <c r="AD280" t="s">
        <v>39</v>
      </c>
      <c r="AE280" t="s">
        <v>493</v>
      </c>
      <c r="AF280">
        <v>3</v>
      </c>
      <c r="AG280">
        <v>0</v>
      </c>
      <c r="AH280" t="s">
        <v>213</v>
      </c>
      <c r="AI280">
        <v>0</v>
      </c>
      <c r="AJ280">
        <v>18</v>
      </c>
    </row>
    <row r="281" spans="1:36">
      <c r="A281" t="s">
        <v>887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15</v>
      </c>
      <c r="N281" t="s">
        <v>16</v>
      </c>
      <c r="O281">
        <v>2066</v>
      </c>
      <c r="P281" s="1">
        <v>23990</v>
      </c>
      <c r="Q281" t="s">
        <v>44</v>
      </c>
      <c r="R281" t="s">
        <v>18</v>
      </c>
      <c r="S281" t="s">
        <v>19</v>
      </c>
      <c r="T281" t="s">
        <v>20</v>
      </c>
      <c r="U281" t="s">
        <v>21</v>
      </c>
      <c r="V281" s="1">
        <v>40670</v>
      </c>
      <c r="W281" s="1">
        <v>42499</v>
      </c>
      <c r="X281" t="s">
        <v>54</v>
      </c>
      <c r="Y281" t="s">
        <v>35</v>
      </c>
      <c r="Z281" t="s">
        <v>24</v>
      </c>
      <c r="AA281" t="s">
        <v>59</v>
      </c>
      <c r="AB281">
        <v>11</v>
      </c>
      <c r="AC281" t="s">
        <v>38</v>
      </c>
      <c r="AD281" t="s">
        <v>39</v>
      </c>
      <c r="AE281" t="s">
        <v>486</v>
      </c>
      <c r="AF281">
        <v>4</v>
      </c>
      <c r="AG281">
        <v>0</v>
      </c>
      <c r="AH281" s="1">
        <v>42403</v>
      </c>
      <c r="AI281">
        <v>0</v>
      </c>
      <c r="AJ281">
        <v>1</v>
      </c>
    </row>
    <row r="282" spans="1:36">
      <c r="A282" t="s">
        <v>888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42</v>
      </c>
      <c r="N282" t="s">
        <v>16</v>
      </c>
      <c r="O282">
        <v>2472</v>
      </c>
      <c r="P282" t="s">
        <v>547</v>
      </c>
      <c r="Q282" t="s">
        <v>17</v>
      </c>
      <c r="R282" t="s">
        <v>66</v>
      </c>
      <c r="S282" t="s">
        <v>19</v>
      </c>
      <c r="T282" t="s">
        <v>20</v>
      </c>
      <c r="U282" t="s">
        <v>21</v>
      </c>
      <c r="V282" t="s">
        <v>548</v>
      </c>
      <c r="W282" t="s">
        <v>196</v>
      </c>
      <c r="X282" t="s">
        <v>262</v>
      </c>
      <c r="Y282" t="s">
        <v>35</v>
      </c>
      <c r="Z282" t="s">
        <v>24</v>
      </c>
      <c r="AA282" t="s">
        <v>55</v>
      </c>
      <c r="AB282">
        <v>39</v>
      </c>
      <c r="AC282" t="s">
        <v>295</v>
      </c>
      <c r="AD282" t="s">
        <v>39</v>
      </c>
      <c r="AE282" t="s">
        <v>199</v>
      </c>
      <c r="AF282">
        <v>4</v>
      </c>
      <c r="AG282">
        <v>0</v>
      </c>
      <c r="AH282" t="s">
        <v>549</v>
      </c>
      <c r="AI282">
        <v>0</v>
      </c>
      <c r="AJ282">
        <v>15</v>
      </c>
    </row>
    <row r="283" spans="1:36">
      <c r="A283" t="s">
        <v>889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15</v>
      </c>
      <c r="N283" t="s">
        <v>16</v>
      </c>
      <c r="O283">
        <v>2093</v>
      </c>
      <c r="P283" s="1">
        <v>24598</v>
      </c>
      <c r="Q283" t="s">
        <v>44</v>
      </c>
      <c r="R283" t="s">
        <v>53</v>
      </c>
      <c r="S283" t="s">
        <v>19</v>
      </c>
      <c r="T283" t="s">
        <v>20</v>
      </c>
      <c r="U283" t="s">
        <v>71</v>
      </c>
      <c r="V283" t="s">
        <v>550</v>
      </c>
      <c r="X283" t="s">
        <v>22</v>
      </c>
      <c r="Y283" t="s">
        <v>23</v>
      </c>
      <c r="Z283" t="s">
        <v>24</v>
      </c>
      <c r="AA283" t="s">
        <v>72</v>
      </c>
      <c r="AB283">
        <v>12</v>
      </c>
      <c r="AC283" t="s">
        <v>38</v>
      </c>
      <c r="AD283" t="s">
        <v>39</v>
      </c>
      <c r="AE283" t="s">
        <v>551</v>
      </c>
      <c r="AF283">
        <v>5</v>
      </c>
      <c r="AG283">
        <v>0</v>
      </c>
      <c r="AH283" t="s">
        <v>104</v>
      </c>
      <c r="AI283">
        <v>0</v>
      </c>
      <c r="AJ283">
        <v>4</v>
      </c>
    </row>
    <row r="284" spans="1:36">
      <c r="A284" t="s">
        <v>890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151</v>
      </c>
      <c r="N284" t="s">
        <v>552</v>
      </c>
      <c r="O284">
        <v>58782</v>
      </c>
      <c r="P284" t="s">
        <v>553</v>
      </c>
      <c r="Q284" t="s">
        <v>17</v>
      </c>
      <c r="R284" t="s">
        <v>149</v>
      </c>
      <c r="S284" t="s">
        <v>19</v>
      </c>
      <c r="T284" t="s">
        <v>20</v>
      </c>
      <c r="U284" t="s">
        <v>21</v>
      </c>
      <c r="V284" s="1">
        <v>38961</v>
      </c>
      <c r="X284" t="s">
        <v>22</v>
      </c>
      <c r="Y284" t="s">
        <v>23</v>
      </c>
      <c r="Z284" t="s">
        <v>154</v>
      </c>
      <c r="AA284" t="s">
        <v>180</v>
      </c>
      <c r="AB284">
        <v>21</v>
      </c>
      <c r="AC284" t="s">
        <v>38</v>
      </c>
      <c r="AD284" t="s">
        <v>27</v>
      </c>
      <c r="AE284" t="s">
        <v>199</v>
      </c>
      <c r="AF284">
        <v>3</v>
      </c>
      <c r="AG284">
        <v>0</v>
      </c>
      <c r="AH284" s="1">
        <v>43556</v>
      </c>
      <c r="AI284">
        <v>0</v>
      </c>
      <c r="AJ284">
        <v>6</v>
      </c>
    </row>
    <row r="285" spans="1:36">
      <c r="A285" t="s">
        <v>891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15</v>
      </c>
      <c r="N285" t="s">
        <v>16</v>
      </c>
      <c r="O285">
        <v>2021</v>
      </c>
      <c r="P285" t="s">
        <v>554</v>
      </c>
      <c r="Q285" t="s">
        <v>44</v>
      </c>
      <c r="R285" t="s">
        <v>18</v>
      </c>
      <c r="S285" t="s">
        <v>19</v>
      </c>
      <c r="T285" t="s">
        <v>20</v>
      </c>
      <c r="U285" t="s">
        <v>21</v>
      </c>
      <c r="V285" t="s">
        <v>125</v>
      </c>
      <c r="X285" t="s">
        <v>22</v>
      </c>
      <c r="Y285" t="s">
        <v>23</v>
      </c>
      <c r="Z285" t="s">
        <v>24</v>
      </c>
      <c r="AA285" t="s">
        <v>81</v>
      </c>
      <c r="AB285">
        <v>14</v>
      </c>
      <c r="AC285" t="s">
        <v>26</v>
      </c>
      <c r="AD285" t="s">
        <v>118</v>
      </c>
      <c r="AE285" t="s">
        <v>555</v>
      </c>
      <c r="AF285">
        <v>5</v>
      </c>
      <c r="AG285">
        <v>0</v>
      </c>
      <c r="AH285" s="1">
        <v>43771</v>
      </c>
      <c r="AI285">
        <v>4</v>
      </c>
      <c r="AJ285">
        <v>18</v>
      </c>
    </row>
    <row r="286" spans="1:36">
      <c r="A286" t="s">
        <v>892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281</v>
      </c>
      <c r="N286" t="s">
        <v>16</v>
      </c>
      <c r="O286">
        <v>1420</v>
      </c>
      <c r="P286" s="1">
        <v>32268</v>
      </c>
      <c r="Q286" t="s">
        <v>17</v>
      </c>
      <c r="R286" t="s">
        <v>31</v>
      </c>
      <c r="S286" t="s">
        <v>19</v>
      </c>
      <c r="T286" t="s">
        <v>20</v>
      </c>
      <c r="U286" t="s">
        <v>21</v>
      </c>
      <c r="V286" s="1">
        <v>42125</v>
      </c>
      <c r="W286" s="1">
        <v>42706</v>
      </c>
      <c r="X286" t="s">
        <v>465</v>
      </c>
      <c r="Y286" t="s">
        <v>35</v>
      </c>
      <c r="Z286" t="s">
        <v>36</v>
      </c>
      <c r="AA286" t="s">
        <v>77</v>
      </c>
      <c r="AB286">
        <v>7</v>
      </c>
      <c r="AC286" t="s">
        <v>117</v>
      </c>
      <c r="AD286" t="s">
        <v>39</v>
      </c>
      <c r="AE286" t="s">
        <v>57</v>
      </c>
      <c r="AF286">
        <v>3</v>
      </c>
      <c r="AG286">
        <v>5</v>
      </c>
      <c r="AH286" t="s">
        <v>353</v>
      </c>
      <c r="AI286">
        <v>0</v>
      </c>
      <c r="AJ286">
        <v>11</v>
      </c>
    </row>
    <row r="287" spans="1:36">
      <c r="A287" t="s">
        <v>893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60</v>
      </c>
      <c r="N287" t="s">
        <v>16</v>
      </c>
      <c r="O287">
        <v>2451</v>
      </c>
      <c r="P287" t="s">
        <v>556</v>
      </c>
      <c r="Q287" t="s">
        <v>17</v>
      </c>
      <c r="R287" t="s">
        <v>18</v>
      </c>
      <c r="S287" t="s">
        <v>189</v>
      </c>
      <c r="T287" t="s">
        <v>20</v>
      </c>
      <c r="U287" t="s">
        <v>71</v>
      </c>
      <c r="V287" t="s">
        <v>550</v>
      </c>
      <c r="W287" t="s">
        <v>557</v>
      </c>
      <c r="X287" t="s">
        <v>465</v>
      </c>
      <c r="Y287" t="s">
        <v>35</v>
      </c>
      <c r="Z287" t="s">
        <v>62</v>
      </c>
      <c r="AA287" t="s">
        <v>63</v>
      </c>
      <c r="AB287">
        <v>10</v>
      </c>
      <c r="AC287" t="s">
        <v>73</v>
      </c>
      <c r="AD287" t="s">
        <v>39</v>
      </c>
      <c r="AE287" t="s">
        <v>28</v>
      </c>
      <c r="AF287">
        <v>3</v>
      </c>
      <c r="AG287">
        <v>4</v>
      </c>
      <c r="AH287" s="1">
        <v>43071</v>
      </c>
      <c r="AI287">
        <v>0</v>
      </c>
      <c r="AJ287">
        <v>9</v>
      </c>
    </row>
    <row r="288" spans="1:36">
      <c r="A288" t="s">
        <v>894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42</v>
      </c>
      <c r="N288" t="s">
        <v>16</v>
      </c>
      <c r="O288">
        <v>1778</v>
      </c>
      <c r="P288" t="s">
        <v>558</v>
      </c>
      <c r="Q288" t="s">
        <v>44</v>
      </c>
      <c r="R288" t="s">
        <v>18</v>
      </c>
      <c r="S288" t="s">
        <v>19</v>
      </c>
      <c r="T288" t="s">
        <v>20</v>
      </c>
      <c r="U288" t="s">
        <v>21</v>
      </c>
      <c r="V288" s="1">
        <v>40817</v>
      </c>
      <c r="W288" s="1">
        <v>41677</v>
      </c>
      <c r="X288" t="s">
        <v>86</v>
      </c>
      <c r="Y288" t="s">
        <v>35</v>
      </c>
      <c r="Z288" t="s">
        <v>24</v>
      </c>
      <c r="AA288" t="s">
        <v>59</v>
      </c>
      <c r="AB288">
        <v>11</v>
      </c>
      <c r="AC288" t="s">
        <v>26</v>
      </c>
      <c r="AD288" t="s">
        <v>39</v>
      </c>
      <c r="AE288" t="s">
        <v>103</v>
      </c>
      <c r="AF288">
        <v>3</v>
      </c>
      <c r="AG288">
        <v>0</v>
      </c>
      <c r="AH288" s="1">
        <v>41760</v>
      </c>
      <c r="AI288">
        <v>0</v>
      </c>
      <c r="AJ288">
        <v>5</v>
      </c>
    </row>
    <row r="289" spans="1:36">
      <c r="A289" t="s">
        <v>895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281</v>
      </c>
      <c r="N289" t="s">
        <v>16</v>
      </c>
      <c r="O289">
        <v>2343</v>
      </c>
      <c r="P289" t="s">
        <v>559</v>
      </c>
      <c r="Q289" t="s">
        <v>17</v>
      </c>
      <c r="R289" t="s">
        <v>31</v>
      </c>
      <c r="S289" t="s">
        <v>106</v>
      </c>
      <c r="T289" t="s">
        <v>20</v>
      </c>
      <c r="U289" t="s">
        <v>21</v>
      </c>
      <c r="V289" t="s">
        <v>32</v>
      </c>
      <c r="X289" t="s">
        <v>22</v>
      </c>
      <c r="Y289" t="s">
        <v>23</v>
      </c>
      <c r="Z289" t="s">
        <v>36</v>
      </c>
      <c r="AA289" t="s">
        <v>77</v>
      </c>
      <c r="AB289">
        <v>7</v>
      </c>
      <c r="AC289" t="s">
        <v>69</v>
      </c>
      <c r="AD289" t="s">
        <v>39</v>
      </c>
      <c r="AE289" t="s">
        <v>57</v>
      </c>
      <c r="AF289">
        <v>4</v>
      </c>
      <c r="AG289">
        <v>7</v>
      </c>
      <c r="AH289" t="s">
        <v>104</v>
      </c>
      <c r="AI289">
        <v>0</v>
      </c>
      <c r="AJ289">
        <v>8</v>
      </c>
    </row>
    <row r="290" spans="1:36">
      <c r="A290" t="s">
        <v>896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151</v>
      </c>
      <c r="N290" t="s">
        <v>560</v>
      </c>
      <c r="O290">
        <v>85006</v>
      </c>
      <c r="P290" t="s">
        <v>561</v>
      </c>
      <c r="Q290" t="s">
        <v>44</v>
      </c>
      <c r="R290" t="s">
        <v>31</v>
      </c>
      <c r="S290" t="s">
        <v>19</v>
      </c>
      <c r="T290" t="s">
        <v>20</v>
      </c>
      <c r="U290" t="s">
        <v>91</v>
      </c>
      <c r="V290" s="1">
        <v>40670</v>
      </c>
      <c r="X290" t="s">
        <v>22</v>
      </c>
      <c r="Y290" t="s">
        <v>23</v>
      </c>
      <c r="Z290" t="s">
        <v>154</v>
      </c>
      <c r="AA290" t="s">
        <v>155</v>
      </c>
      <c r="AB290">
        <v>17</v>
      </c>
      <c r="AC290" t="s">
        <v>38</v>
      </c>
      <c r="AD290" t="s">
        <v>39</v>
      </c>
      <c r="AE290" t="s">
        <v>562</v>
      </c>
      <c r="AF290">
        <v>3</v>
      </c>
      <c r="AG290">
        <v>0</v>
      </c>
      <c r="AH290" t="s">
        <v>29</v>
      </c>
      <c r="AI290">
        <v>0</v>
      </c>
      <c r="AJ290">
        <v>16</v>
      </c>
    </row>
    <row r="291" spans="1:36">
      <c r="A291" t="s">
        <v>897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15</v>
      </c>
      <c r="N291" t="s">
        <v>16</v>
      </c>
      <c r="O291">
        <v>2171</v>
      </c>
      <c r="P291" t="s">
        <v>563</v>
      </c>
      <c r="Q291" t="s">
        <v>17</v>
      </c>
      <c r="R291" t="s">
        <v>53</v>
      </c>
      <c r="S291" t="s">
        <v>19</v>
      </c>
      <c r="T291" t="s">
        <v>20</v>
      </c>
      <c r="U291" t="s">
        <v>21</v>
      </c>
      <c r="V291" t="s">
        <v>336</v>
      </c>
      <c r="W291" s="1">
        <v>42492</v>
      </c>
      <c r="X291" t="s">
        <v>370</v>
      </c>
      <c r="Y291" t="s">
        <v>35</v>
      </c>
      <c r="Z291" t="s">
        <v>24</v>
      </c>
      <c r="AA291" t="s">
        <v>47</v>
      </c>
      <c r="AB291">
        <v>20</v>
      </c>
      <c r="AC291" t="s">
        <v>26</v>
      </c>
      <c r="AD291" t="s">
        <v>27</v>
      </c>
      <c r="AE291" t="s">
        <v>109</v>
      </c>
      <c r="AF291">
        <v>5</v>
      </c>
      <c r="AG291">
        <v>0</v>
      </c>
      <c r="AH291" s="1">
        <v>42371</v>
      </c>
      <c r="AI291">
        <v>0</v>
      </c>
      <c r="AJ291">
        <v>15</v>
      </c>
    </row>
    <row r="292" spans="1:36">
      <c r="A292" t="s">
        <v>898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133</v>
      </c>
      <c r="N292" t="s">
        <v>16</v>
      </c>
      <c r="O292">
        <v>2169</v>
      </c>
      <c r="P292" s="1">
        <v>25121</v>
      </c>
      <c r="Q292" t="s">
        <v>17</v>
      </c>
      <c r="R292" t="s">
        <v>53</v>
      </c>
      <c r="S292" t="s">
        <v>19</v>
      </c>
      <c r="T292" t="s">
        <v>20</v>
      </c>
      <c r="U292" t="s">
        <v>21</v>
      </c>
      <c r="V292" s="1">
        <v>40551</v>
      </c>
      <c r="X292" t="s">
        <v>22</v>
      </c>
      <c r="Y292" t="s">
        <v>23</v>
      </c>
      <c r="Z292" t="s">
        <v>24</v>
      </c>
      <c r="AA292" t="s">
        <v>135</v>
      </c>
      <c r="AB292">
        <v>2</v>
      </c>
      <c r="AC292" t="s">
        <v>69</v>
      </c>
      <c r="AD292" t="s">
        <v>39</v>
      </c>
      <c r="AE292" t="s">
        <v>422</v>
      </c>
      <c r="AF292">
        <v>3</v>
      </c>
      <c r="AG292">
        <v>0</v>
      </c>
      <c r="AH292" t="s">
        <v>115</v>
      </c>
      <c r="AI292">
        <v>0</v>
      </c>
      <c r="AJ292">
        <v>19</v>
      </c>
    </row>
    <row r="293" spans="1:36">
      <c r="A293" t="s">
        <v>899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151</v>
      </c>
      <c r="N293" t="s">
        <v>564</v>
      </c>
      <c r="O293">
        <v>4063</v>
      </c>
      <c r="P293" s="1">
        <v>32819</v>
      </c>
      <c r="Q293" t="s">
        <v>17</v>
      </c>
      <c r="R293" t="s">
        <v>18</v>
      </c>
      <c r="S293" t="s">
        <v>19</v>
      </c>
      <c r="T293" t="s">
        <v>20</v>
      </c>
      <c r="U293" t="s">
        <v>111</v>
      </c>
      <c r="V293" s="1">
        <v>41032</v>
      </c>
      <c r="X293" t="s">
        <v>22</v>
      </c>
      <c r="Y293" t="s">
        <v>23</v>
      </c>
      <c r="Z293" t="s">
        <v>154</v>
      </c>
      <c r="AA293" t="s">
        <v>155</v>
      </c>
      <c r="AB293">
        <v>17</v>
      </c>
      <c r="AC293" t="s">
        <v>244</v>
      </c>
      <c r="AD293" t="s">
        <v>39</v>
      </c>
      <c r="AE293" t="s">
        <v>109</v>
      </c>
      <c r="AF293">
        <v>4</v>
      </c>
      <c r="AG293">
        <v>0</v>
      </c>
      <c r="AH293" t="s">
        <v>248</v>
      </c>
      <c r="AI293">
        <v>0</v>
      </c>
      <c r="AJ293">
        <v>11</v>
      </c>
    </row>
    <row r="294" spans="1:36">
      <c r="A294" t="s">
        <v>900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107</v>
      </c>
      <c r="N294" t="s">
        <v>16</v>
      </c>
      <c r="O294">
        <v>1960</v>
      </c>
      <c r="P294" s="1">
        <v>31601</v>
      </c>
      <c r="Q294" t="s">
        <v>17</v>
      </c>
      <c r="R294" t="s">
        <v>31</v>
      </c>
      <c r="S294" t="s">
        <v>19</v>
      </c>
      <c r="T294" t="s">
        <v>20</v>
      </c>
      <c r="U294" t="s">
        <v>71</v>
      </c>
      <c r="V294" t="s">
        <v>130</v>
      </c>
      <c r="W294" t="s">
        <v>565</v>
      </c>
      <c r="X294" t="s">
        <v>269</v>
      </c>
      <c r="Y294" t="s">
        <v>100</v>
      </c>
      <c r="Z294" t="s">
        <v>36</v>
      </c>
      <c r="AA294" t="s">
        <v>37</v>
      </c>
      <c r="AB294">
        <v>4</v>
      </c>
      <c r="AC294" t="s">
        <v>69</v>
      </c>
      <c r="AD294" t="s">
        <v>39</v>
      </c>
      <c r="AE294" t="s">
        <v>566</v>
      </c>
      <c r="AF294">
        <v>3</v>
      </c>
      <c r="AG294">
        <v>7</v>
      </c>
      <c r="AH294" t="s">
        <v>237</v>
      </c>
      <c r="AI294">
        <v>0</v>
      </c>
      <c r="AJ294">
        <v>9</v>
      </c>
    </row>
    <row r="295" spans="1:36">
      <c r="A295" t="s">
        <v>901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15</v>
      </c>
      <c r="N295" t="s">
        <v>16</v>
      </c>
      <c r="O295">
        <v>2747</v>
      </c>
      <c r="P295" s="1">
        <v>31477</v>
      </c>
      <c r="Q295" t="s">
        <v>44</v>
      </c>
      <c r="R295" t="s">
        <v>31</v>
      </c>
      <c r="S295" t="s">
        <v>19</v>
      </c>
      <c r="T295" t="s">
        <v>20</v>
      </c>
      <c r="U295" t="s">
        <v>21</v>
      </c>
      <c r="V295" t="s">
        <v>197</v>
      </c>
      <c r="W295" s="1">
        <v>42584</v>
      </c>
      <c r="X295" t="s">
        <v>567</v>
      </c>
      <c r="Y295" t="s">
        <v>100</v>
      </c>
      <c r="Z295" t="s">
        <v>24</v>
      </c>
      <c r="AA295" t="s">
        <v>93</v>
      </c>
      <c r="AB295">
        <v>18</v>
      </c>
      <c r="AC295" t="s">
        <v>56</v>
      </c>
      <c r="AD295" t="s">
        <v>27</v>
      </c>
      <c r="AE295" t="s">
        <v>187</v>
      </c>
      <c r="AF295">
        <v>5</v>
      </c>
      <c r="AG295">
        <v>0</v>
      </c>
      <c r="AH295" s="1">
        <v>42006</v>
      </c>
      <c r="AI295">
        <v>0</v>
      </c>
      <c r="AJ295">
        <v>18</v>
      </c>
    </row>
    <row r="296" spans="1:36">
      <c r="A296" t="s">
        <v>902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15</v>
      </c>
      <c r="N296" t="s">
        <v>16</v>
      </c>
      <c r="O296">
        <v>2124</v>
      </c>
      <c r="P296" s="1">
        <v>31202</v>
      </c>
      <c r="Q296" t="s">
        <v>44</v>
      </c>
      <c r="R296" t="s">
        <v>18</v>
      </c>
      <c r="S296" t="s">
        <v>19</v>
      </c>
      <c r="T296" t="s">
        <v>20</v>
      </c>
      <c r="U296" t="s">
        <v>21</v>
      </c>
      <c r="V296" s="1">
        <v>42131</v>
      </c>
      <c r="X296" t="s">
        <v>22</v>
      </c>
      <c r="Y296" t="s">
        <v>23</v>
      </c>
      <c r="Z296" t="s">
        <v>24</v>
      </c>
      <c r="AA296" t="s">
        <v>25</v>
      </c>
      <c r="AB296">
        <v>22</v>
      </c>
      <c r="AC296" t="s">
        <v>26</v>
      </c>
      <c r="AD296" t="s">
        <v>39</v>
      </c>
      <c r="AE296" t="s">
        <v>568</v>
      </c>
      <c r="AF296">
        <v>3</v>
      </c>
      <c r="AG296">
        <v>0</v>
      </c>
      <c r="AH296" t="s">
        <v>246</v>
      </c>
      <c r="AI296">
        <v>0</v>
      </c>
      <c r="AJ296">
        <v>7</v>
      </c>
    </row>
    <row r="297" spans="1:36">
      <c r="A297" t="s">
        <v>903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42</v>
      </c>
      <c r="N297" t="s">
        <v>16</v>
      </c>
      <c r="O297">
        <v>2459</v>
      </c>
      <c r="P297" s="1">
        <v>28035</v>
      </c>
      <c r="Q297" t="s">
        <v>17</v>
      </c>
      <c r="R297" t="s">
        <v>18</v>
      </c>
      <c r="S297" t="s">
        <v>19</v>
      </c>
      <c r="T297" t="s">
        <v>20</v>
      </c>
      <c r="U297" t="s">
        <v>71</v>
      </c>
      <c r="V297" t="s">
        <v>173</v>
      </c>
      <c r="X297" t="s">
        <v>22</v>
      </c>
      <c r="Y297" t="s">
        <v>23</v>
      </c>
      <c r="Z297" t="s">
        <v>24</v>
      </c>
      <c r="AA297" t="s">
        <v>68</v>
      </c>
      <c r="AB297">
        <v>19</v>
      </c>
      <c r="AC297" t="s">
        <v>69</v>
      </c>
      <c r="AD297" t="s">
        <v>39</v>
      </c>
      <c r="AE297" t="s">
        <v>569</v>
      </c>
      <c r="AF297">
        <v>5</v>
      </c>
      <c r="AG297">
        <v>0</v>
      </c>
      <c r="AH297" s="1">
        <v>43801</v>
      </c>
      <c r="AI297">
        <v>0</v>
      </c>
      <c r="AJ297">
        <v>4</v>
      </c>
    </row>
    <row r="298" spans="1:36">
      <c r="A298" t="s">
        <v>904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133</v>
      </c>
      <c r="N298" t="s">
        <v>16</v>
      </c>
      <c r="O298">
        <v>2478</v>
      </c>
      <c r="P298" t="s">
        <v>570</v>
      </c>
      <c r="Q298" t="s">
        <v>44</v>
      </c>
      <c r="R298" t="s">
        <v>31</v>
      </c>
      <c r="S298" t="s">
        <v>19</v>
      </c>
      <c r="T298" t="s">
        <v>20</v>
      </c>
      <c r="U298" t="s">
        <v>71</v>
      </c>
      <c r="V298" t="s">
        <v>197</v>
      </c>
      <c r="W298" s="1">
        <v>40940</v>
      </c>
      <c r="X298" t="s">
        <v>80</v>
      </c>
      <c r="Y298" t="s">
        <v>35</v>
      </c>
      <c r="Z298" t="s">
        <v>24</v>
      </c>
      <c r="AA298" t="s">
        <v>135</v>
      </c>
      <c r="AB298">
        <v>2</v>
      </c>
      <c r="AC298" t="s">
        <v>73</v>
      </c>
      <c r="AD298" t="s">
        <v>39</v>
      </c>
      <c r="AE298" t="s">
        <v>109</v>
      </c>
      <c r="AF298">
        <v>3</v>
      </c>
      <c r="AG298">
        <v>0</v>
      </c>
      <c r="AH298" s="1">
        <v>40940</v>
      </c>
      <c r="AI298">
        <v>0</v>
      </c>
      <c r="AJ298">
        <v>5</v>
      </c>
    </row>
    <row r="299" spans="1:36">
      <c r="A299" t="s">
        <v>905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15</v>
      </c>
      <c r="N299" t="s">
        <v>16</v>
      </c>
      <c r="O299">
        <v>1887</v>
      </c>
      <c r="P299" s="1">
        <v>29259</v>
      </c>
      <c r="Q299" t="s">
        <v>44</v>
      </c>
      <c r="R299" t="s">
        <v>18</v>
      </c>
      <c r="S299" t="s">
        <v>19</v>
      </c>
      <c r="T299" t="s">
        <v>20</v>
      </c>
      <c r="U299" t="s">
        <v>21</v>
      </c>
      <c r="V299" t="s">
        <v>336</v>
      </c>
      <c r="W299" s="1">
        <v>42013</v>
      </c>
      <c r="X299" t="s">
        <v>34</v>
      </c>
      <c r="Y299" t="s">
        <v>35</v>
      </c>
      <c r="Z299" t="s">
        <v>24</v>
      </c>
      <c r="AA299" t="s">
        <v>51</v>
      </c>
      <c r="AB299">
        <v>16</v>
      </c>
      <c r="AC299" t="s">
        <v>117</v>
      </c>
      <c r="AD299" t="s">
        <v>118</v>
      </c>
      <c r="AE299" t="s">
        <v>571</v>
      </c>
      <c r="AF299">
        <v>3</v>
      </c>
      <c r="AG299">
        <v>0</v>
      </c>
      <c r="AH299" s="1">
        <v>41768</v>
      </c>
      <c r="AI299">
        <v>6</v>
      </c>
      <c r="AJ299">
        <v>13</v>
      </c>
    </row>
    <row r="300" spans="1:36">
      <c r="A300" t="s">
        <v>906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393</v>
      </c>
      <c r="N300" t="s">
        <v>16</v>
      </c>
      <c r="O300">
        <v>1887</v>
      </c>
      <c r="P300" s="1">
        <v>29805</v>
      </c>
      <c r="Q300" t="s">
        <v>17</v>
      </c>
      <c r="R300" t="s">
        <v>18</v>
      </c>
      <c r="S300" t="s">
        <v>19</v>
      </c>
      <c r="T300" t="s">
        <v>20</v>
      </c>
      <c r="U300" t="s">
        <v>111</v>
      </c>
      <c r="V300" t="s">
        <v>237</v>
      </c>
      <c r="X300" t="s">
        <v>22</v>
      </c>
      <c r="Y300" t="s">
        <v>23</v>
      </c>
      <c r="Z300" t="s">
        <v>36</v>
      </c>
      <c r="AA300" t="s">
        <v>238</v>
      </c>
      <c r="AB300">
        <v>13</v>
      </c>
      <c r="AC300" t="s">
        <v>38</v>
      </c>
      <c r="AD300" t="s">
        <v>39</v>
      </c>
      <c r="AE300" t="s">
        <v>572</v>
      </c>
      <c r="AF300">
        <v>4</v>
      </c>
      <c r="AG300">
        <v>7</v>
      </c>
      <c r="AH300" s="1">
        <v>43556</v>
      </c>
      <c r="AI300">
        <v>0</v>
      </c>
      <c r="AJ300">
        <v>17</v>
      </c>
    </row>
    <row r="301" spans="1:36">
      <c r="A301" t="s">
        <v>907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214</v>
      </c>
      <c r="N301" t="s">
        <v>16</v>
      </c>
      <c r="O301">
        <v>2453</v>
      </c>
      <c r="P301" s="1">
        <v>28526</v>
      </c>
      <c r="Q301" t="s">
        <v>44</v>
      </c>
      <c r="R301" t="s">
        <v>66</v>
      </c>
      <c r="S301" t="s">
        <v>19</v>
      </c>
      <c r="T301" t="s">
        <v>20</v>
      </c>
      <c r="U301" t="s">
        <v>111</v>
      </c>
      <c r="V301" t="s">
        <v>32</v>
      </c>
      <c r="X301" t="s">
        <v>22</v>
      </c>
      <c r="Y301" t="s">
        <v>23</v>
      </c>
      <c r="Z301" t="s">
        <v>36</v>
      </c>
      <c r="AA301" t="s">
        <v>77</v>
      </c>
      <c r="AB301">
        <v>7</v>
      </c>
      <c r="AC301" t="s">
        <v>69</v>
      </c>
      <c r="AD301" t="s">
        <v>39</v>
      </c>
      <c r="AE301" t="s">
        <v>82</v>
      </c>
      <c r="AF301">
        <v>4</v>
      </c>
      <c r="AG301">
        <v>8</v>
      </c>
      <c r="AH301" s="1">
        <v>43587</v>
      </c>
      <c r="AI301">
        <v>0</v>
      </c>
      <c r="AJ301">
        <v>7</v>
      </c>
    </row>
    <row r="302" spans="1:36">
      <c r="A302" t="s">
        <v>908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15</v>
      </c>
      <c r="N302" t="s">
        <v>16</v>
      </c>
      <c r="O302">
        <v>2030</v>
      </c>
      <c r="P302" t="s">
        <v>573</v>
      </c>
      <c r="Q302" t="s">
        <v>17</v>
      </c>
      <c r="R302" t="s">
        <v>18</v>
      </c>
      <c r="S302" t="s">
        <v>19</v>
      </c>
      <c r="T302" t="s">
        <v>79</v>
      </c>
      <c r="U302" t="s">
        <v>21</v>
      </c>
      <c r="V302" s="1">
        <v>40817</v>
      </c>
      <c r="W302" t="s">
        <v>574</v>
      </c>
      <c r="X302" t="s">
        <v>46</v>
      </c>
      <c r="Y302" t="s">
        <v>35</v>
      </c>
      <c r="Z302" t="s">
        <v>24</v>
      </c>
      <c r="AA302" t="s">
        <v>55</v>
      </c>
      <c r="AB302">
        <v>39</v>
      </c>
      <c r="AC302" t="s">
        <v>26</v>
      </c>
      <c r="AD302" t="s">
        <v>39</v>
      </c>
      <c r="AE302" t="s">
        <v>57</v>
      </c>
      <c r="AF302">
        <v>5</v>
      </c>
      <c r="AG302">
        <v>0</v>
      </c>
      <c r="AH302" t="s">
        <v>574</v>
      </c>
      <c r="AI302">
        <v>0</v>
      </c>
      <c r="AJ302">
        <v>11</v>
      </c>
    </row>
    <row r="303" spans="1:36">
      <c r="A303" t="s">
        <v>909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15</v>
      </c>
      <c r="N303" t="s">
        <v>16</v>
      </c>
      <c r="O303">
        <v>2324</v>
      </c>
      <c r="P303" s="1">
        <v>23994</v>
      </c>
      <c r="Q303" t="s">
        <v>17</v>
      </c>
      <c r="R303" t="s">
        <v>31</v>
      </c>
      <c r="S303" t="s">
        <v>106</v>
      </c>
      <c r="T303" t="s">
        <v>20</v>
      </c>
      <c r="U303" t="s">
        <v>21</v>
      </c>
      <c r="V303" t="s">
        <v>194</v>
      </c>
      <c r="W303" s="1">
        <v>42194</v>
      </c>
      <c r="X303" t="s">
        <v>86</v>
      </c>
      <c r="Y303" t="s">
        <v>35</v>
      </c>
      <c r="Z303" t="s">
        <v>24</v>
      </c>
      <c r="AA303" t="s">
        <v>59</v>
      </c>
      <c r="AB303">
        <v>11</v>
      </c>
      <c r="AC303" t="s">
        <v>244</v>
      </c>
      <c r="AD303" t="s">
        <v>39</v>
      </c>
      <c r="AE303" t="s">
        <v>57</v>
      </c>
      <c r="AF303">
        <v>3</v>
      </c>
      <c r="AG303">
        <v>0</v>
      </c>
      <c r="AH303" t="s">
        <v>387</v>
      </c>
      <c r="AI303">
        <v>0</v>
      </c>
      <c r="AJ303">
        <v>7</v>
      </c>
    </row>
    <row r="304" spans="1:36">
      <c r="A304" t="s">
        <v>910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15</v>
      </c>
      <c r="N304" t="s">
        <v>16</v>
      </c>
      <c r="O304">
        <v>1876</v>
      </c>
      <c r="P304" t="s">
        <v>575</v>
      </c>
      <c r="Q304" t="s">
        <v>44</v>
      </c>
      <c r="R304" t="s">
        <v>53</v>
      </c>
      <c r="S304" t="s">
        <v>19</v>
      </c>
      <c r="T304" t="s">
        <v>20</v>
      </c>
      <c r="U304" t="s">
        <v>21</v>
      </c>
      <c r="V304" s="1">
        <v>40817</v>
      </c>
      <c r="W304" t="s">
        <v>179</v>
      </c>
      <c r="X304" t="s">
        <v>80</v>
      </c>
      <c r="Y304" t="s">
        <v>35</v>
      </c>
      <c r="Z304" t="s">
        <v>24</v>
      </c>
      <c r="AA304" t="s">
        <v>68</v>
      </c>
      <c r="AB304">
        <v>19</v>
      </c>
      <c r="AC304" t="s">
        <v>56</v>
      </c>
      <c r="AD304" t="s">
        <v>39</v>
      </c>
      <c r="AE304" t="s">
        <v>343</v>
      </c>
      <c r="AF304">
        <v>5</v>
      </c>
      <c r="AG304">
        <v>0</v>
      </c>
      <c r="AH304" s="1">
        <v>40696</v>
      </c>
      <c r="AI304">
        <v>0</v>
      </c>
      <c r="AJ304">
        <v>9</v>
      </c>
    </row>
    <row r="305" spans="1:36">
      <c r="A305" t="s">
        <v>911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15</v>
      </c>
      <c r="N305" t="s">
        <v>16</v>
      </c>
      <c r="O305">
        <v>2109</v>
      </c>
      <c r="P305" s="1">
        <v>25244</v>
      </c>
      <c r="Q305" t="s">
        <v>44</v>
      </c>
      <c r="R305" t="s">
        <v>18</v>
      </c>
      <c r="S305" t="s">
        <v>19</v>
      </c>
      <c r="T305" t="s">
        <v>79</v>
      </c>
      <c r="U305" t="s">
        <v>71</v>
      </c>
      <c r="V305" s="1">
        <v>41153</v>
      </c>
      <c r="W305" t="s">
        <v>576</v>
      </c>
      <c r="X305" t="s">
        <v>186</v>
      </c>
      <c r="Y305" t="s">
        <v>35</v>
      </c>
      <c r="Z305" t="s">
        <v>24</v>
      </c>
      <c r="AA305" t="s">
        <v>68</v>
      </c>
      <c r="AB305">
        <v>19</v>
      </c>
      <c r="AC305" t="s">
        <v>73</v>
      </c>
      <c r="AD305" t="s">
        <v>39</v>
      </c>
      <c r="AE305" t="s">
        <v>187</v>
      </c>
      <c r="AF305">
        <v>4</v>
      </c>
      <c r="AG305">
        <v>0</v>
      </c>
      <c r="AH305" s="1">
        <v>41676</v>
      </c>
      <c r="AI305">
        <v>0</v>
      </c>
      <c r="AJ305">
        <v>16</v>
      </c>
    </row>
    <row r="306" spans="1:36">
      <c r="A306" t="s">
        <v>912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42</v>
      </c>
      <c r="N306" t="s">
        <v>16</v>
      </c>
      <c r="O306">
        <v>2045</v>
      </c>
      <c r="P306" s="1">
        <v>21377</v>
      </c>
      <c r="Q306" t="s">
        <v>17</v>
      </c>
      <c r="R306" t="s">
        <v>18</v>
      </c>
      <c r="S306" t="s">
        <v>19</v>
      </c>
      <c r="T306" t="s">
        <v>20</v>
      </c>
      <c r="U306" t="s">
        <v>21</v>
      </c>
      <c r="V306" s="1">
        <v>41456</v>
      </c>
      <c r="W306" t="s">
        <v>577</v>
      </c>
      <c r="X306" t="s">
        <v>134</v>
      </c>
      <c r="Y306" t="s">
        <v>35</v>
      </c>
      <c r="Z306" t="s">
        <v>24</v>
      </c>
      <c r="AA306" t="s">
        <v>72</v>
      </c>
      <c r="AB306">
        <v>12</v>
      </c>
      <c r="AC306" t="s">
        <v>26</v>
      </c>
      <c r="AD306" t="s">
        <v>27</v>
      </c>
      <c r="AE306" t="s">
        <v>57</v>
      </c>
      <c r="AF306">
        <v>3</v>
      </c>
      <c r="AG306">
        <v>0</v>
      </c>
      <c r="AH306" t="s">
        <v>578</v>
      </c>
      <c r="AI306">
        <v>0</v>
      </c>
      <c r="AJ306">
        <v>7</v>
      </c>
    </row>
    <row r="307" spans="1:36">
      <c r="A307" t="s">
        <v>913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42</v>
      </c>
      <c r="N307" t="s">
        <v>16</v>
      </c>
      <c r="O307">
        <v>2302</v>
      </c>
      <c r="P307" t="s">
        <v>579</v>
      </c>
      <c r="Q307" t="s">
        <v>44</v>
      </c>
      <c r="R307" t="s">
        <v>18</v>
      </c>
      <c r="S307" t="s">
        <v>19</v>
      </c>
      <c r="T307" t="s">
        <v>20</v>
      </c>
      <c r="U307" t="s">
        <v>21</v>
      </c>
      <c r="V307" t="s">
        <v>146</v>
      </c>
      <c r="X307" t="s">
        <v>22</v>
      </c>
      <c r="Y307" t="s">
        <v>23</v>
      </c>
      <c r="Z307" t="s">
        <v>24</v>
      </c>
      <c r="AA307" t="s">
        <v>81</v>
      </c>
      <c r="AB307">
        <v>14</v>
      </c>
      <c r="AC307" t="s">
        <v>26</v>
      </c>
      <c r="AD307" t="s">
        <v>39</v>
      </c>
      <c r="AE307" t="s">
        <v>249</v>
      </c>
      <c r="AF307">
        <v>4</v>
      </c>
      <c r="AG307">
        <v>0</v>
      </c>
      <c r="AH307" t="s">
        <v>158</v>
      </c>
      <c r="AI307">
        <v>0</v>
      </c>
      <c r="AJ307">
        <v>14</v>
      </c>
    </row>
    <row r="308" spans="1:36">
      <c r="A308" t="s">
        <v>914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42</v>
      </c>
      <c r="N308" t="s">
        <v>16</v>
      </c>
      <c r="O308">
        <v>1810</v>
      </c>
      <c r="P308" s="1">
        <v>31356</v>
      </c>
      <c r="Q308" t="s">
        <v>17</v>
      </c>
      <c r="R308" t="s">
        <v>18</v>
      </c>
      <c r="S308" t="s">
        <v>19</v>
      </c>
      <c r="T308" t="s">
        <v>20</v>
      </c>
      <c r="U308" t="s">
        <v>21</v>
      </c>
      <c r="V308" s="1">
        <v>41827</v>
      </c>
      <c r="X308" t="s">
        <v>22</v>
      </c>
      <c r="Y308" t="s">
        <v>23</v>
      </c>
      <c r="Z308" t="s">
        <v>24</v>
      </c>
      <c r="AA308" t="s">
        <v>47</v>
      </c>
      <c r="AB308">
        <v>20</v>
      </c>
      <c r="AC308" t="s">
        <v>26</v>
      </c>
      <c r="AD308" t="s">
        <v>39</v>
      </c>
      <c r="AE308" t="s">
        <v>580</v>
      </c>
      <c r="AF308">
        <v>4</v>
      </c>
      <c r="AG308">
        <v>0</v>
      </c>
      <c r="AH308" t="s">
        <v>200</v>
      </c>
      <c r="AI308">
        <v>0</v>
      </c>
      <c r="AJ308">
        <v>13</v>
      </c>
    </row>
    <row r="309" spans="1:36">
      <c r="A309" t="s">
        <v>915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15</v>
      </c>
      <c r="N309" t="s">
        <v>16</v>
      </c>
      <c r="O309">
        <v>2458</v>
      </c>
      <c r="P309" s="1">
        <v>30046</v>
      </c>
      <c r="Q309" t="s">
        <v>44</v>
      </c>
      <c r="R309" t="s">
        <v>18</v>
      </c>
      <c r="S309" t="s">
        <v>19</v>
      </c>
      <c r="T309" t="s">
        <v>20</v>
      </c>
      <c r="U309" t="s">
        <v>111</v>
      </c>
      <c r="V309" s="1">
        <v>39487</v>
      </c>
      <c r="W309" t="s">
        <v>581</v>
      </c>
      <c r="X309" t="s">
        <v>80</v>
      </c>
      <c r="Y309" t="s">
        <v>35</v>
      </c>
      <c r="Z309" t="s">
        <v>24</v>
      </c>
      <c r="AA309" t="s">
        <v>72</v>
      </c>
      <c r="AB309">
        <v>12</v>
      </c>
      <c r="AC309" t="s">
        <v>56</v>
      </c>
      <c r="AD309" t="s">
        <v>230</v>
      </c>
      <c r="AE309" t="s">
        <v>582</v>
      </c>
      <c r="AF309">
        <v>2</v>
      </c>
      <c r="AG309">
        <v>0</v>
      </c>
      <c r="AH309" s="1">
        <v>42044</v>
      </c>
      <c r="AI309">
        <v>5</v>
      </c>
      <c r="AJ309">
        <v>4</v>
      </c>
    </row>
    <row r="310" spans="1:36">
      <c r="A310" t="s">
        <v>916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583</v>
      </c>
      <c r="N310" t="s">
        <v>16</v>
      </c>
      <c r="O310">
        <v>2067</v>
      </c>
      <c r="P310" t="s">
        <v>584</v>
      </c>
      <c r="Q310" t="s">
        <v>44</v>
      </c>
      <c r="R310" t="s">
        <v>18</v>
      </c>
      <c r="S310" t="s">
        <v>19</v>
      </c>
      <c r="T310" t="s">
        <v>20</v>
      </c>
      <c r="U310" t="s">
        <v>21</v>
      </c>
      <c r="V310" s="1">
        <v>40455</v>
      </c>
      <c r="X310" t="s">
        <v>22</v>
      </c>
      <c r="Y310" t="s">
        <v>23</v>
      </c>
      <c r="Z310" t="s">
        <v>36</v>
      </c>
      <c r="AA310" t="s">
        <v>135</v>
      </c>
      <c r="AB310">
        <v>2</v>
      </c>
      <c r="AC310" t="s">
        <v>69</v>
      </c>
      <c r="AD310" t="s">
        <v>27</v>
      </c>
      <c r="AE310" t="s">
        <v>28</v>
      </c>
      <c r="AF310">
        <v>5</v>
      </c>
      <c r="AG310">
        <v>6</v>
      </c>
      <c r="AH310" t="s">
        <v>158</v>
      </c>
      <c r="AI310">
        <v>0</v>
      </c>
      <c r="AJ310">
        <v>16</v>
      </c>
    </row>
    <row r="311" spans="1:36">
      <c r="A311" t="s">
        <v>917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87</v>
      </c>
      <c r="N311" t="s">
        <v>16</v>
      </c>
      <c r="O311">
        <v>2148</v>
      </c>
      <c r="P311" t="s">
        <v>585</v>
      </c>
      <c r="Q311" t="s">
        <v>44</v>
      </c>
      <c r="R311" t="s">
        <v>18</v>
      </c>
      <c r="S311" t="s">
        <v>19</v>
      </c>
      <c r="T311" t="s">
        <v>20</v>
      </c>
      <c r="U311" t="s">
        <v>21</v>
      </c>
      <c r="V311" t="s">
        <v>32</v>
      </c>
      <c r="X311" t="s">
        <v>22</v>
      </c>
      <c r="Y311" t="s">
        <v>23</v>
      </c>
      <c r="Z311" t="s">
        <v>36</v>
      </c>
      <c r="AA311" t="s">
        <v>37</v>
      </c>
      <c r="AB311">
        <v>4</v>
      </c>
      <c r="AC311" t="s">
        <v>69</v>
      </c>
      <c r="AD311" t="s">
        <v>39</v>
      </c>
      <c r="AE311" t="s">
        <v>57</v>
      </c>
      <c r="AF311">
        <v>3</v>
      </c>
      <c r="AG311">
        <v>5</v>
      </c>
      <c r="AH311" s="1">
        <v>43467</v>
      </c>
      <c r="AI311">
        <v>0</v>
      </c>
      <c r="AJ311">
        <v>11</v>
      </c>
    </row>
    <row r="312" spans="1:36">
      <c r="A312" t="s">
        <v>918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15</v>
      </c>
      <c r="N312" t="s">
        <v>16</v>
      </c>
      <c r="O312">
        <v>1730</v>
      </c>
      <c r="P312" t="s">
        <v>586</v>
      </c>
      <c r="Q312" t="s">
        <v>44</v>
      </c>
      <c r="R312" t="s">
        <v>66</v>
      </c>
      <c r="S312" t="s">
        <v>19</v>
      </c>
      <c r="T312" t="s">
        <v>20</v>
      </c>
      <c r="U312" t="s">
        <v>111</v>
      </c>
      <c r="V312" t="s">
        <v>146</v>
      </c>
      <c r="X312" t="s">
        <v>22</v>
      </c>
      <c r="Y312" t="s">
        <v>23</v>
      </c>
      <c r="Z312" t="s">
        <v>24</v>
      </c>
      <c r="AA312" t="s">
        <v>81</v>
      </c>
      <c r="AB312">
        <v>14</v>
      </c>
      <c r="AC312" t="s">
        <v>26</v>
      </c>
      <c r="AD312" t="s">
        <v>39</v>
      </c>
      <c r="AE312" t="s">
        <v>109</v>
      </c>
      <c r="AF312">
        <v>5</v>
      </c>
      <c r="AG312">
        <v>0</v>
      </c>
      <c r="AH312" t="s">
        <v>167</v>
      </c>
      <c r="AI312">
        <v>0</v>
      </c>
      <c r="AJ312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9B62-392F-4805-9C8A-6D323E712D3D}">
  <dimension ref="A3:C11"/>
  <sheetViews>
    <sheetView topLeftCell="A2" workbookViewId="0">
      <selection activeCell="H26" sqref="H26"/>
    </sheetView>
  </sheetViews>
  <sheetFormatPr baseColWidth="10" defaultRowHeight="14.5"/>
  <cols>
    <col min="1" max="1" width="19.54296875" bestFit="1" customWidth="1"/>
    <col min="2" max="2" width="16.6328125" bestFit="1" customWidth="1"/>
    <col min="3" max="3" width="15.54296875" bestFit="1" customWidth="1"/>
  </cols>
  <sheetData>
    <row r="3" spans="1:3">
      <c r="A3" s="3" t="s">
        <v>925</v>
      </c>
      <c r="B3" t="s">
        <v>929</v>
      </c>
      <c r="C3" t="s">
        <v>928</v>
      </c>
    </row>
    <row r="4" spans="1:3">
      <c r="A4" s="4" t="s">
        <v>131</v>
      </c>
      <c r="B4" s="5">
        <v>1.9230769230769232E-2</v>
      </c>
      <c r="C4" s="2">
        <v>2</v>
      </c>
    </row>
    <row r="5" spans="1:3">
      <c r="A5" s="4" t="s">
        <v>378</v>
      </c>
      <c r="B5" s="5">
        <v>0</v>
      </c>
      <c r="C5" s="2">
        <v>0</v>
      </c>
    </row>
    <row r="6" spans="1:3">
      <c r="A6" s="4" t="s">
        <v>36</v>
      </c>
      <c r="B6" s="5">
        <v>9.6153846153846159E-2</v>
      </c>
      <c r="C6" s="2">
        <v>10</v>
      </c>
    </row>
    <row r="7" spans="1:3">
      <c r="A7" s="4" t="s">
        <v>24</v>
      </c>
      <c r="B7" s="5">
        <v>0.79807692307692313</v>
      </c>
      <c r="C7" s="2">
        <v>83</v>
      </c>
    </row>
    <row r="8" spans="1:3">
      <c r="A8" s="4" t="s">
        <v>154</v>
      </c>
      <c r="B8" s="5">
        <v>4.807692307692308E-2</v>
      </c>
      <c r="C8" s="2">
        <v>5</v>
      </c>
    </row>
    <row r="9" spans="1:3">
      <c r="A9" s="4" t="s">
        <v>62</v>
      </c>
      <c r="B9" s="5">
        <v>3.8461538461538464E-2</v>
      </c>
      <c r="C9" s="2">
        <v>4</v>
      </c>
    </row>
    <row r="10" spans="1:3">
      <c r="A10" s="4" t="s">
        <v>926</v>
      </c>
      <c r="B10" s="5">
        <v>0</v>
      </c>
      <c r="C10" s="2"/>
    </row>
    <row r="11" spans="1:3">
      <c r="A11" s="4" t="s">
        <v>927</v>
      </c>
      <c r="B11" s="5">
        <v>1</v>
      </c>
      <c r="C11" s="2">
        <v>104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CEE7-3665-4535-93E2-C1007E485A51}">
  <dimension ref="A3:B9"/>
  <sheetViews>
    <sheetView workbookViewId="0">
      <selection activeCell="B18" sqref="B18"/>
    </sheetView>
  </sheetViews>
  <sheetFormatPr baseColWidth="10" defaultRowHeight="14.5"/>
  <cols>
    <col min="1" max="1" width="19.54296875" bestFit="1" customWidth="1"/>
    <col min="2" max="2" width="16.81640625" bestFit="1" customWidth="1"/>
  </cols>
  <sheetData>
    <row r="3" spans="1:2">
      <c r="A3" s="3" t="s">
        <v>925</v>
      </c>
      <c r="B3" t="s">
        <v>930</v>
      </c>
    </row>
    <row r="4" spans="1:2">
      <c r="A4" s="4" t="s">
        <v>27</v>
      </c>
      <c r="B4" s="2">
        <v>77144.864864864867</v>
      </c>
    </row>
    <row r="5" spans="1:2">
      <c r="A5" s="4" t="s">
        <v>39</v>
      </c>
      <c r="B5" s="2">
        <v>68421.024691358019</v>
      </c>
    </row>
    <row r="6" spans="1:2">
      <c r="A6" s="4" t="s">
        <v>118</v>
      </c>
      <c r="B6" s="2">
        <v>68407.555555555562</v>
      </c>
    </row>
    <row r="7" spans="1:2">
      <c r="A7" s="4" t="s">
        <v>230</v>
      </c>
      <c r="B7" s="2">
        <v>57956</v>
      </c>
    </row>
    <row r="8" spans="1:2">
      <c r="A8" s="4" t="s">
        <v>926</v>
      </c>
      <c r="B8" s="2"/>
    </row>
    <row r="9" spans="1:2">
      <c r="A9" s="4" t="s">
        <v>927</v>
      </c>
      <c r="B9" s="2">
        <v>69020.684887459807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03C8-FA4B-466D-A3DF-C09C5CE7E237}">
  <dimension ref="A3:B14"/>
  <sheetViews>
    <sheetView workbookViewId="0">
      <selection activeCell="C17" sqref="C17"/>
    </sheetView>
  </sheetViews>
  <sheetFormatPr baseColWidth="10" defaultRowHeight="14.5"/>
  <cols>
    <col min="1" max="1" width="21.08984375" bestFit="1" customWidth="1"/>
    <col min="2" max="2" width="20.6328125" bestFit="1" customWidth="1"/>
  </cols>
  <sheetData>
    <row r="3" spans="1:2">
      <c r="A3" s="3" t="s">
        <v>925</v>
      </c>
      <c r="B3" t="s">
        <v>931</v>
      </c>
    </row>
    <row r="4" spans="1:2">
      <c r="A4" s="4" t="s">
        <v>117</v>
      </c>
      <c r="B4" s="2">
        <v>23</v>
      </c>
    </row>
    <row r="5" spans="1:2">
      <c r="A5" s="4" t="s">
        <v>73</v>
      </c>
      <c r="B5" s="2">
        <v>29</v>
      </c>
    </row>
    <row r="6" spans="1:2">
      <c r="A6" s="4" t="s">
        <v>69</v>
      </c>
      <c r="B6" s="2">
        <v>31</v>
      </c>
    </row>
    <row r="7" spans="1:2">
      <c r="A7" s="4" t="s">
        <v>56</v>
      </c>
      <c r="B7" s="2">
        <v>49</v>
      </c>
    </row>
    <row r="8" spans="1:2">
      <c r="A8" s="4" t="s">
        <v>38</v>
      </c>
      <c r="B8" s="2">
        <v>87</v>
      </c>
    </row>
    <row r="9" spans="1:2">
      <c r="A9" s="4" t="s">
        <v>26</v>
      </c>
      <c r="B9" s="2">
        <v>76</v>
      </c>
    </row>
    <row r="10" spans="1:2">
      <c r="A10" s="4" t="s">
        <v>96</v>
      </c>
      <c r="B10" s="2">
        <v>1</v>
      </c>
    </row>
    <row r="11" spans="1:2">
      <c r="A11" s="4" t="s">
        <v>295</v>
      </c>
      <c r="B11" s="2">
        <v>2</v>
      </c>
    </row>
    <row r="12" spans="1:2">
      <c r="A12" s="4" t="s">
        <v>244</v>
      </c>
      <c r="B12" s="2">
        <v>13</v>
      </c>
    </row>
    <row r="13" spans="1:2">
      <c r="A13" s="4" t="s">
        <v>926</v>
      </c>
      <c r="B13" s="2"/>
    </row>
    <row r="14" spans="1:2">
      <c r="A14" s="4" t="s">
        <v>927</v>
      </c>
      <c r="B14" s="2">
        <v>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BED0-B728-4F97-A968-1E8876F547C8}">
  <dimension ref="A3:B9"/>
  <sheetViews>
    <sheetView workbookViewId="0">
      <selection activeCell="B17" sqref="B17"/>
    </sheetView>
  </sheetViews>
  <sheetFormatPr baseColWidth="10" defaultRowHeight="14.5"/>
  <cols>
    <col min="1" max="1" width="19.54296875" bestFit="1" customWidth="1"/>
    <col min="2" max="2" width="19.6328125" bestFit="1" customWidth="1"/>
  </cols>
  <sheetData>
    <row r="3" spans="1:2">
      <c r="A3" s="3" t="s">
        <v>925</v>
      </c>
      <c r="B3" t="s">
        <v>932</v>
      </c>
    </row>
    <row r="4" spans="1:2">
      <c r="A4" s="4" t="s">
        <v>27</v>
      </c>
      <c r="B4" s="2">
        <v>10.486486486486486</v>
      </c>
    </row>
    <row r="5" spans="1:2">
      <c r="A5" s="4" t="s">
        <v>39</v>
      </c>
      <c r="B5" s="2">
        <v>10.242798353909466</v>
      </c>
    </row>
    <row r="6" spans="1:2">
      <c r="A6" s="4" t="s">
        <v>118</v>
      </c>
      <c r="B6" s="2">
        <v>11.333333333333334</v>
      </c>
    </row>
    <row r="7" spans="1:2">
      <c r="A7" s="4" t="s">
        <v>230</v>
      </c>
      <c r="B7" s="2">
        <v>7.9230769230769234</v>
      </c>
    </row>
    <row r="8" spans="1:2">
      <c r="A8" s="4" t="s">
        <v>926</v>
      </c>
      <c r="B8" s="2"/>
    </row>
    <row r="9" spans="1:2">
      <c r="A9" s="4" t="s">
        <v>927</v>
      </c>
      <c r="B9" s="2">
        <v>10.237942122186496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3BC5-A081-477A-83B4-B4BD0B98E771}">
  <dimension ref="A3:E12"/>
  <sheetViews>
    <sheetView workbookViewId="0">
      <selection activeCell="B12" sqref="B12"/>
    </sheetView>
  </sheetViews>
  <sheetFormatPr baseColWidth="10" defaultRowHeight="14.5"/>
  <cols>
    <col min="1" max="1" width="24.90625" bestFit="1" customWidth="1"/>
    <col min="2" max="2" width="22.26953125" bestFit="1" customWidth="1"/>
    <col min="3" max="3" width="10.54296875" bestFit="1" customWidth="1"/>
    <col min="4" max="4" width="5.81640625" bestFit="1" customWidth="1"/>
    <col min="5" max="5" width="11.7265625" bestFit="1" customWidth="1"/>
  </cols>
  <sheetData>
    <row r="3" spans="1:5">
      <c r="A3" s="3" t="s">
        <v>942</v>
      </c>
      <c r="B3" s="3" t="s">
        <v>941</v>
      </c>
    </row>
    <row r="4" spans="1:5">
      <c r="A4" s="3" t="s">
        <v>925</v>
      </c>
      <c r="B4" t="s">
        <v>939</v>
      </c>
      <c r="C4" t="s">
        <v>940</v>
      </c>
      <c r="D4" t="s">
        <v>926</v>
      </c>
      <c r="E4" t="s">
        <v>927</v>
      </c>
    </row>
    <row r="5" spans="1:5">
      <c r="A5" s="4" t="s">
        <v>131</v>
      </c>
      <c r="B5" s="5">
        <v>1.9292604501607719E-2</v>
      </c>
      <c r="C5" s="5">
        <v>9.6463022508038593E-3</v>
      </c>
      <c r="D5" s="5">
        <v>0</v>
      </c>
      <c r="E5" s="5">
        <v>2.8938906752411574E-2</v>
      </c>
    </row>
    <row r="6" spans="1:5">
      <c r="A6" s="4" t="s">
        <v>378</v>
      </c>
      <c r="B6" s="5">
        <v>3.2154340836012861E-3</v>
      </c>
      <c r="C6" s="5">
        <v>0</v>
      </c>
      <c r="D6" s="5">
        <v>0</v>
      </c>
      <c r="E6" s="5">
        <v>3.2154340836012861E-3</v>
      </c>
    </row>
    <row r="7" spans="1:5">
      <c r="A7" s="4" t="s">
        <v>36</v>
      </c>
      <c r="B7" s="5">
        <v>8.0385852090032156E-2</v>
      </c>
      <c r="C7" s="5">
        <v>8.0385852090032156E-2</v>
      </c>
      <c r="D7" s="5">
        <v>0</v>
      </c>
      <c r="E7" s="5">
        <v>0.16077170418006431</v>
      </c>
    </row>
    <row r="8" spans="1:5">
      <c r="A8" s="4" t="s">
        <v>24</v>
      </c>
      <c r="B8" s="5">
        <v>0.33440514469453375</v>
      </c>
      <c r="C8" s="5">
        <v>0.33762057877813506</v>
      </c>
      <c r="D8" s="5">
        <v>0</v>
      </c>
      <c r="E8" s="5">
        <v>0.67202572347266876</v>
      </c>
    </row>
    <row r="9" spans="1:5">
      <c r="A9" s="4" t="s">
        <v>154</v>
      </c>
      <c r="B9" s="5">
        <v>4.8231511254019289E-2</v>
      </c>
      <c r="C9" s="5">
        <v>5.1446945337620578E-2</v>
      </c>
      <c r="D9" s="5">
        <v>0</v>
      </c>
      <c r="E9" s="5">
        <v>9.9678456591639875E-2</v>
      </c>
    </row>
    <row r="10" spans="1:5">
      <c r="A10" s="4" t="s">
        <v>62</v>
      </c>
      <c r="B10" s="5">
        <v>2.2508038585209004E-2</v>
      </c>
      <c r="C10" s="5">
        <v>1.2861736334405145E-2</v>
      </c>
      <c r="D10" s="5">
        <v>0</v>
      </c>
      <c r="E10" s="5">
        <v>3.5369774919614148E-2</v>
      </c>
    </row>
    <row r="11" spans="1:5">
      <c r="A11" s="4" t="s">
        <v>926</v>
      </c>
      <c r="B11" s="5">
        <v>0</v>
      </c>
      <c r="C11" s="5">
        <v>0</v>
      </c>
      <c r="D11" s="5">
        <v>0</v>
      </c>
      <c r="E11" s="5">
        <v>0</v>
      </c>
    </row>
    <row r="12" spans="1:5">
      <c r="A12" s="4" t="s">
        <v>927</v>
      </c>
      <c r="B12" s="5">
        <v>0.50803858520900325</v>
      </c>
      <c r="C12" s="5">
        <v>0.49196141479099681</v>
      </c>
      <c r="D12" s="5">
        <v>0</v>
      </c>
      <c r="E12" s="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7FBB-270D-4D9B-9A29-3F29918AE066}">
  <dimension ref="A1:AP312"/>
  <sheetViews>
    <sheetView workbookViewId="0"/>
  </sheetViews>
  <sheetFormatPr baseColWidth="10" defaultRowHeight="14.5"/>
  <cols>
    <col min="1" max="1" width="21.81640625" bestFit="1" customWidth="1"/>
    <col min="2" max="2" width="8.6328125" bestFit="1" customWidth="1"/>
    <col min="3" max="3" width="11.6328125" bestFit="1" customWidth="1"/>
    <col min="4" max="4" width="15.453125" bestFit="1" customWidth="1"/>
    <col min="5" max="5" width="10.7265625" bestFit="1" customWidth="1"/>
    <col min="6" max="6" width="13.7265625" bestFit="1" customWidth="1"/>
    <col min="7" max="7" width="9" bestFit="1" customWidth="1"/>
    <col min="8" max="8" width="12.90625" bestFit="1" customWidth="1"/>
    <col min="9" max="9" width="11.81640625" bestFit="1" customWidth="1"/>
    <col min="10" max="10" width="8.08984375" bestFit="1" customWidth="1"/>
    <col min="11" max="11" width="8.54296875" bestFit="1" customWidth="1"/>
    <col min="12" max="12" width="11.7265625" bestFit="1" customWidth="1"/>
    <col min="13" max="13" width="26.6328125" bestFit="1" customWidth="1"/>
    <col min="14" max="14" width="7.453125" bestFit="1" customWidth="1"/>
    <col min="15" max="15" width="5.81640625" bestFit="1" customWidth="1"/>
    <col min="16" max="16" width="10.453125" bestFit="1" customWidth="1"/>
    <col min="17" max="17" width="5.90625" bestFit="1" customWidth="1"/>
    <col min="18" max="18" width="13.453125" bestFit="1" customWidth="1"/>
    <col min="19" max="19" width="16.1796875" bestFit="1" customWidth="1"/>
    <col min="20" max="20" width="14.1796875" bestFit="1" customWidth="1"/>
    <col min="21" max="21" width="28.54296875" bestFit="1" customWidth="1"/>
    <col min="22" max="22" width="12.08984375" bestFit="1" customWidth="1"/>
    <col min="23" max="23" width="13.36328125" bestFit="1" customWidth="1"/>
    <col min="24" max="24" width="27.1796875" bestFit="1" customWidth="1"/>
    <col min="25" max="25" width="20" bestFit="1" customWidth="1"/>
    <col min="26" max="26" width="18.54296875" bestFit="1" customWidth="1"/>
    <col min="27" max="27" width="16.90625" bestFit="1" customWidth="1"/>
    <col min="28" max="28" width="12.36328125" bestFit="1" customWidth="1"/>
    <col min="29" max="29" width="21.08984375" bestFit="1" customWidth="1"/>
    <col min="30" max="30" width="17.90625" bestFit="1" customWidth="1"/>
    <col min="31" max="31" width="13.453125" bestFit="1" customWidth="1"/>
    <col min="32" max="32" width="14.7265625" bestFit="1" customWidth="1"/>
    <col min="33" max="33" width="14" bestFit="1" customWidth="1"/>
    <col min="34" max="34" width="10.54296875" bestFit="1" customWidth="1"/>
    <col min="35" max="35" width="10.26953125" bestFit="1" customWidth="1"/>
    <col min="37" max="37" width="32.453125" customWidth="1"/>
    <col min="38" max="38" width="22.1796875" customWidth="1"/>
  </cols>
  <sheetData>
    <row r="1" spans="1:42">
      <c r="A1" s="2" t="s">
        <v>0</v>
      </c>
      <c r="B1" s="2" t="s">
        <v>1</v>
      </c>
      <c r="C1" s="2" t="s">
        <v>2</v>
      </c>
      <c r="D1" s="2" t="s">
        <v>587</v>
      </c>
      <c r="E1" s="2" t="s">
        <v>588</v>
      </c>
      <c r="F1" s="2" t="s">
        <v>589</v>
      </c>
      <c r="G1" s="2" t="s">
        <v>3</v>
      </c>
      <c r="H1" s="2" t="s">
        <v>4</v>
      </c>
      <c r="I1" s="2" t="s">
        <v>590</v>
      </c>
      <c r="J1" s="2" t="s">
        <v>5</v>
      </c>
      <c r="K1" s="2" t="s">
        <v>6</v>
      </c>
      <c r="L1" s="2" t="s">
        <v>7</v>
      </c>
      <c r="M1" s="2" t="s">
        <v>591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592</v>
      </c>
      <c r="S1" s="2" t="s">
        <v>593</v>
      </c>
      <c r="T1" s="2" t="s">
        <v>594</v>
      </c>
      <c r="U1" s="2" t="s">
        <v>595</v>
      </c>
      <c r="V1" s="2" t="s">
        <v>596</v>
      </c>
      <c r="W1" s="2" t="s">
        <v>597</v>
      </c>
      <c r="X1" s="2" t="s">
        <v>598</v>
      </c>
      <c r="Y1" s="2" t="s">
        <v>599</v>
      </c>
      <c r="Z1" s="2" t="s">
        <v>12</v>
      </c>
      <c r="AA1" s="2" t="s">
        <v>600</v>
      </c>
      <c r="AB1" s="2" t="s">
        <v>13</v>
      </c>
      <c r="AC1" s="2" t="s">
        <v>601</v>
      </c>
      <c r="AD1" s="2" t="s">
        <v>602</v>
      </c>
      <c r="AE1" s="2" t="s">
        <v>603</v>
      </c>
      <c r="AF1" s="2" t="s">
        <v>604</v>
      </c>
      <c r="AG1" s="2" t="s">
        <v>605</v>
      </c>
      <c r="AH1" s="2" t="s">
        <v>606</v>
      </c>
      <c r="AI1" s="2" t="s">
        <v>607</v>
      </c>
      <c r="AJ1" s="2" t="s">
        <v>14</v>
      </c>
      <c r="AK1" t="s">
        <v>919</v>
      </c>
      <c r="AL1" t="s">
        <v>920</v>
      </c>
      <c r="AM1" t="s">
        <v>921</v>
      </c>
      <c r="AN1" t="s">
        <v>922</v>
      </c>
      <c r="AO1" t="s">
        <v>923</v>
      </c>
      <c r="AP1" t="s">
        <v>924</v>
      </c>
    </row>
    <row r="2" spans="1:42">
      <c r="A2" s="2" t="s">
        <v>608</v>
      </c>
      <c r="B2" s="2">
        <v>10026</v>
      </c>
      <c r="C2" s="2">
        <v>0</v>
      </c>
      <c r="D2" s="2">
        <v>0</v>
      </c>
      <c r="E2" s="2">
        <v>1</v>
      </c>
      <c r="F2" s="2">
        <v>1</v>
      </c>
      <c r="G2" s="2">
        <v>5</v>
      </c>
      <c r="H2" s="2">
        <v>4</v>
      </c>
      <c r="I2" s="2">
        <v>0</v>
      </c>
      <c r="J2" s="2">
        <v>62506</v>
      </c>
      <c r="K2" s="2">
        <v>0</v>
      </c>
      <c r="L2" s="2">
        <v>19</v>
      </c>
      <c r="M2" s="2" t="s">
        <v>15</v>
      </c>
      <c r="N2" s="2" t="s">
        <v>16</v>
      </c>
      <c r="O2" s="2">
        <v>1960</v>
      </c>
      <c r="P2" s="1">
        <v>30596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1">
        <v>40670</v>
      </c>
      <c r="W2" s="1"/>
      <c r="X2" s="2" t="s">
        <v>22</v>
      </c>
      <c r="Y2" s="2" t="s">
        <v>23</v>
      </c>
      <c r="Z2" s="2" t="s">
        <v>24</v>
      </c>
      <c r="AA2" s="2" t="s">
        <v>25</v>
      </c>
      <c r="AB2" s="2">
        <v>22</v>
      </c>
      <c r="AC2" s="2" t="s">
        <v>26</v>
      </c>
      <c r="AD2" s="2" t="s">
        <v>27</v>
      </c>
      <c r="AE2" s="2" t="s">
        <v>28</v>
      </c>
      <c r="AF2" s="2">
        <v>5</v>
      </c>
      <c r="AG2" s="2">
        <v>0</v>
      </c>
      <c r="AH2" s="2" t="s">
        <v>29</v>
      </c>
      <c r="AI2" s="2">
        <v>0</v>
      </c>
      <c r="AJ2" s="2">
        <v>1</v>
      </c>
      <c r="AK2">
        <f t="shared" ref="AK2:AK65" ca="1" si="0">DATEDIF(P2, TODAY(), "Y")</f>
        <v>42</v>
      </c>
      <c r="AL2">
        <f t="shared" ref="AL2:AL65" ca="1" si="1">INT((IF(K2=0, TODAY(), W2) - V2) / 365.25)</f>
        <v>14</v>
      </c>
      <c r="AM2" t="str">
        <f t="shared" ref="AM2:AM65" si="2">IF(K2=0, "Actif", IF(OR(X2="Another position", X2="more money", X2="unhappy", X2="career change", X2="return to school", X2="relocation out of area", X2="medical issues", X2="military", X2="retiring"), "Volontaire", "Involontaire"))</f>
        <v>Actif</v>
      </c>
      <c r="AN2" s="2" t="str">
        <f t="shared" ref="AN2:AN65" ca="1" si="3">IF(AK2&lt;30, "Moins de 30", IF(AK2&lt;45, "30-44 ans", IF(AK2&lt;60, "45-59 ans", "60 ans et plus")))</f>
        <v>30-44 ans</v>
      </c>
      <c r="AO2" s="2" t="str">
        <f t="shared" ref="AO2:AO65" si="4">IF(H2=1, "PIP", IF(H2=2, "Needs Improvement", IF(H2=3, "Fully Meets", IF(H2=4, "Exceeds", "Non défini"))))</f>
        <v>Exceeds</v>
      </c>
      <c r="AP2" s="2" t="str">
        <f t="shared" ref="AP2:AP65" si="5">IF(AND(AE2&lt;3, AF2&lt;3, AJ2&gt;15), "CRITIQUE", IF(OR(AE2&lt;3, AJ2&gt;10), "SURVEILLER", "FAIBLE"))</f>
        <v>FAIBLE</v>
      </c>
    </row>
    <row r="3" spans="1:42">
      <c r="A3" s="2" t="s">
        <v>609</v>
      </c>
      <c r="B3" s="2">
        <v>10084</v>
      </c>
      <c r="C3" s="2">
        <v>1</v>
      </c>
      <c r="D3" s="2">
        <v>1</v>
      </c>
      <c r="E3" s="2">
        <v>1</v>
      </c>
      <c r="F3" s="2">
        <v>5</v>
      </c>
      <c r="G3" s="2">
        <v>3</v>
      </c>
      <c r="H3" s="2">
        <v>3</v>
      </c>
      <c r="I3" s="2">
        <v>0</v>
      </c>
      <c r="J3" s="2">
        <v>104437</v>
      </c>
      <c r="K3" s="2">
        <v>1</v>
      </c>
      <c r="L3" s="2">
        <v>27</v>
      </c>
      <c r="M3" s="2" t="s">
        <v>30</v>
      </c>
      <c r="N3" s="2" t="s">
        <v>16</v>
      </c>
      <c r="O3" s="2">
        <v>2148</v>
      </c>
      <c r="P3" s="1">
        <v>27519</v>
      </c>
      <c r="Q3" s="2" t="s">
        <v>17</v>
      </c>
      <c r="R3" s="2" t="s">
        <v>31</v>
      </c>
      <c r="S3" s="2" t="s">
        <v>19</v>
      </c>
      <c r="T3" s="2" t="s">
        <v>20</v>
      </c>
      <c r="U3" s="2" t="s">
        <v>21</v>
      </c>
      <c r="V3" s="1">
        <v>42093</v>
      </c>
      <c r="W3" s="1">
        <v>42537</v>
      </c>
      <c r="X3" s="2" t="s">
        <v>34</v>
      </c>
      <c r="Y3" s="2" t="s">
        <v>35</v>
      </c>
      <c r="Z3" s="2" t="s">
        <v>36</v>
      </c>
      <c r="AA3" s="2" t="s">
        <v>37</v>
      </c>
      <c r="AB3" s="2">
        <v>4</v>
      </c>
      <c r="AC3" s="2" t="s">
        <v>38</v>
      </c>
      <c r="AD3" s="2" t="s">
        <v>39</v>
      </c>
      <c r="AE3" s="2" t="s">
        <v>40</v>
      </c>
      <c r="AF3" s="2">
        <v>3</v>
      </c>
      <c r="AG3" s="2">
        <v>6</v>
      </c>
      <c r="AH3" s="2" t="s">
        <v>41</v>
      </c>
      <c r="AI3" s="2">
        <v>0</v>
      </c>
      <c r="AJ3" s="2">
        <v>17</v>
      </c>
      <c r="AK3">
        <f ca="1">DATEDIF(P2, TODAY(), "Y")</f>
        <v>42</v>
      </c>
      <c r="AL3">
        <f t="shared" ca="1" si="1"/>
        <v>1</v>
      </c>
      <c r="AM3" t="str">
        <f t="shared" si="2"/>
        <v>Volontaire</v>
      </c>
      <c r="AN3" s="2" t="str">
        <f t="shared" ca="1" si="3"/>
        <v>30-44 ans</v>
      </c>
      <c r="AO3" s="2" t="str">
        <f t="shared" si="4"/>
        <v>Fully Meets</v>
      </c>
      <c r="AP3" s="2" t="str">
        <f t="shared" si="5"/>
        <v>SURVEILLER</v>
      </c>
    </row>
    <row r="4" spans="1:42">
      <c r="A4" s="2" t="s">
        <v>610</v>
      </c>
      <c r="B4" s="2">
        <v>10196</v>
      </c>
      <c r="C4" s="2">
        <v>1</v>
      </c>
      <c r="D4" s="2">
        <v>1</v>
      </c>
      <c r="E4" s="2">
        <v>0</v>
      </c>
      <c r="F4" s="2">
        <v>5</v>
      </c>
      <c r="G4" s="2">
        <v>5</v>
      </c>
      <c r="H4" s="2">
        <v>3</v>
      </c>
      <c r="I4" s="2">
        <v>0</v>
      </c>
      <c r="J4" s="2">
        <v>64955</v>
      </c>
      <c r="K4" s="2">
        <v>1</v>
      </c>
      <c r="L4" s="2">
        <v>20</v>
      </c>
      <c r="M4" s="2" t="s">
        <v>42</v>
      </c>
      <c r="N4" s="2" t="s">
        <v>16</v>
      </c>
      <c r="O4" s="2">
        <v>1810</v>
      </c>
      <c r="P4" s="1">
        <v>32405</v>
      </c>
      <c r="Q4" s="2" t="s">
        <v>44</v>
      </c>
      <c r="R4" s="2" t="s">
        <v>31</v>
      </c>
      <c r="S4" s="2" t="s">
        <v>19</v>
      </c>
      <c r="T4" s="2" t="s">
        <v>20</v>
      </c>
      <c r="U4" s="2" t="s">
        <v>21</v>
      </c>
      <c r="V4" s="1">
        <v>40670</v>
      </c>
      <c r="W4" s="1">
        <v>41176</v>
      </c>
      <c r="X4" s="2" t="s">
        <v>46</v>
      </c>
      <c r="Y4" s="2" t="s">
        <v>35</v>
      </c>
      <c r="Z4" s="2" t="s">
        <v>24</v>
      </c>
      <c r="AA4" s="2" t="s">
        <v>47</v>
      </c>
      <c r="AB4" s="2">
        <v>20</v>
      </c>
      <c r="AC4" s="2" t="s">
        <v>26</v>
      </c>
      <c r="AD4" s="2" t="s">
        <v>39</v>
      </c>
      <c r="AE4" s="2" t="s">
        <v>48</v>
      </c>
      <c r="AF4" s="2">
        <v>3</v>
      </c>
      <c r="AG4" s="2">
        <v>0</v>
      </c>
      <c r="AH4" s="2" t="s">
        <v>49</v>
      </c>
      <c r="AI4" s="2">
        <v>0</v>
      </c>
      <c r="AJ4" s="2">
        <v>3</v>
      </c>
      <c r="AK4">
        <f t="shared" ca="1" si="0"/>
        <v>37</v>
      </c>
      <c r="AL4">
        <f t="shared" ca="1" si="1"/>
        <v>1</v>
      </c>
      <c r="AM4" t="str">
        <f t="shared" si="2"/>
        <v>Involontaire</v>
      </c>
      <c r="AN4" s="2" t="str">
        <f t="shared" ca="1" si="3"/>
        <v>30-44 ans</v>
      </c>
      <c r="AO4" s="2" t="str">
        <f t="shared" si="4"/>
        <v>Fully Meets</v>
      </c>
      <c r="AP4" s="2" t="str">
        <f t="shared" si="5"/>
        <v>FAIBLE</v>
      </c>
    </row>
    <row r="5" spans="1:42">
      <c r="A5" s="2" t="s">
        <v>611</v>
      </c>
      <c r="B5" s="2">
        <v>10088</v>
      </c>
      <c r="C5" s="2">
        <v>1</v>
      </c>
      <c r="D5" s="2">
        <v>1</v>
      </c>
      <c r="E5" s="2">
        <v>0</v>
      </c>
      <c r="F5" s="2">
        <v>1</v>
      </c>
      <c r="G5" s="2">
        <v>5</v>
      </c>
      <c r="H5" s="2">
        <v>3</v>
      </c>
      <c r="I5" s="2">
        <v>0</v>
      </c>
      <c r="J5" s="2">
        <v>64991</v>
      </c>
      <c r="K5" s="2">
        <v>0</v>
      </c>
      <c r="L5" s="2">
        <v>19</v>
      </c>
      <c r="M5" s="2" t="s">
        <v>15</v>
      </c>
      <c r="N5" s="2" t="s">
        <v>16</v>
      </c>
      <c r="O5" s="2">
        <v>1886</v>
      </c>
      <c r="P5" s="1">
        <v>32413</v>
      </c>
      <c r="Q5" s="2" t="s">
        <v>44</v>
      </c>
      <c r="R5" s="2" t="s">
        <v>31</v>
      </c>
      <c r="S5" s="2" t="s">
        <v>19</v>
      </c>
      <c r="T5" s="2" t="s">
        <v>20</v>
      </c>
      <c r="U5" s="2" t="s">
        <v>21</v>
      </c>
      <c r="V5" s="1">
        <v>39630</v>
      </c>
      <c r="W5" s="1"/>
      <c r="X5" s="2" t="s">
        <v>22</v>
      </c>
      <c r="Y5" s="2" t="s">
        <v>23</v>
      </c>
      <c r="Z5" s="2" t="s">
        <v>24</v>
      </c>
      <c r="AA5" s="2" t="s">
        <v>51</v>
      </c>
      <c r="AB5" s="2">
        <v>16</v>
      </c>
      <c r="AC5" s="2" t="s">
        <v>38</v>
      </c>
      <c r="AD5" s="2" t="s">
        <v>39</v>
      </c>
      <c r="AE5" s="2" t="s">
        <v>52</v>
      </c>
      <c r="AF5" s="2">
        <v>5</v>
      </c>
      <c r="AG5" s="2">
        <v>0</v>
      </c>
      <c r="AH5" s="2">
        <v>43525</v>
      </c>
      <c r="AI5" s="2">
        <v>0</v>
      </c>
      <c r="AJ5" s="2">
        <v>15</v>
      </c>
      <c r="AK5">
        <f t="shared" ca="1" si="0"/>
        <v>37</v>
      </c>
      <c r="AL5">
        <f t="shared" ca="1" si="1"/>
        <v>17</v>
      </c>
      <c r="AM5" t="str">
        <f t="shared" si="2"/>
        <v>Actif</v>
      </c>
      <c r="AN5" s="2" t="str">
        <f t="shared" ca="1" si="3"/>
        <v>30-44 ans</v>
      </c>
      <c r="AO5" s="2" t="str">
        <f t="shared" si="4"/>
        <v>Fully Meets</v>
      </c>
      <c r="AP5" s="2" t="str">
        <f t="shared" si="5"/>
        <v>SURVEILLER</v>
      </c>
    </row>
    <row r="6" spans="1:42">
      <c r="A6" s="2" t="s">
        <v>612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s="2" t="s">
        <v>15</v>
      </c>
      <c r="N6" s="2" t="s">
        <v>16</v>
      </c>
      <c r="O6">
        <v>2169</v>
      </c>
      <c r="P6" s="1">
        <v>32729</v>
      </c>
      <c r="Q6" s="2" t="s">
        <v>44</v>
      </c>
      <c r="R6" s="2" t="s">
        <v>53</v>
      </c>
      <c r="S6" s="2" t="s">
        <v>19</v>
      </c>
      <c r="T6" s="2" t="s">
        <v>20</v>
      </c>
      <c r="U6" s="2" t="s">
        <v>21</v>
      </c>
      <c r="V6" s="1">
        <v>40854</v>
      </c>
      <c r="W6" s="1">
        <v>42530</v>
      </c>
      <c r="X6" s="2" t="s">
        <v>54</v>
      </c>
      <c r="Y6" s="2" t="s">
        <v>35</v>
      </c>
      <c r="Z6" s="2" t="s">
        <v>24</v>
      </c>
      <c r="AA6" s="2" t="s">
        <v>55</v>
      </c>
      <c r="AB6">
        <v>39</v>
      </c>
      <c r="AC6" s="2" t="s">
        <v>56</v>
      </c>
      <c r="AD6" s="2" t="s">
        <v>39</v>
      </c>
      <c r="AE6" s="2" t="s">
        <v>57</v>
      </c>
      <c r="AF6">
        <v>4</v>
      </c>
      <c r="AG6">
        <v>0</v>
      </c>
      <c r="AH6">
        <v>42371</v>
      </c>
      <c r="AI6">
        <v>0</v>
      </c>
      <c r="AJ6">
        <v>2</v>
      </c>
      <c r="AK6">
        <f t="shared" ca="1" si="0"/>
        <v>36</v>
      </c>
      <c r="AL6">
        <f t="shared" ca="1" si="1"/>
        <v>4</v>
      </c>
      <c r="AM6" t="str">
        <f t="shared" si="2"/>
        <v>Volontaire</v>
      </c>
      <c r="AN6" s="2" t="str">
        <f t="shared" ca="1" si="3"/>
        <v>30-44 ans</v>
      </c>
      <c r="AO6" s="2" t="str">
        <f t="shared" si="4"/>
        <v>Fully Meets</v>
      </c>
      <c r="AP6" s="2" t="str">
        <f t="shared" si="5"/>
        <v>FAIBLE</v>
      </c>
    </row>
    <row r="7" spans="1:42">
      <c r="A7" s="2" t="s">
        <v>613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s="2" t="s">
        <v>15</v>
      </c>
      <c r="N7" s="2" t="s">
        <v>16</v>
      </c>
      <c r="O7">
        <v>1844</v>
      </c>
      <c r="P7" s="1">
        <v>28267</v>
      </c>
      <c r="Q7" s="2" t="s">
        <v>44</v>
      </c>
      <c r="R7" s="2" t="s">
        <v>18</v>
      </c>
      <c r="S7" s="2" t="s">
        <v>19</v>
      </c>
      <c r="T7" s="2" t="s">
        <v>20</v>
      </c>
      <c r="U7" s="2" t="s">
        <v>21</v>
      </c>
      <c r="V7" s="1">
        <v>41153</v>
      </c>
      <c r="W7" s="1"/>
      <c r="X7" s="2" t="s">
        <v>22</v>
      </c>
      <c r="Y7" s="2" t="s">
        <v>23</v>
      </c>
      <c r="Z7" s="2" t="s">
        <v>24</v>
      </c>
      <c r="AA7" s="2" t="s">
        <v>59</v>
      </c>
      <c r="AB7">
        <v>11</v>
      </c>
      <c r="AC7" s="2" t="s">
        <v>26</v>
      </c>
      <c r="AD7" s="2" t="s">
        <v>27</v>
      </c>
      <c r="AE7" s="2" t="s">
        <v>57</v>
      </c>
      <c r="AF7">
        <v>5</v>
      </c>
      <c r="AG7">
        <v>0</v>
      </c>
      <c r="AH7">
        <v>43647</v>
      </c>
      <c r="AI7">
        <v>0</v>
      </c>
      <c r="AJ7">
        <v>15</v>
      </c>
      <c r="AK7">
        <f t="shared" ca="1" si="0"/>
        <v>48</v>
      </c>
      <c r="AL7">
        <f t="shared" ca="1" si="1"/>
        <v>13</v>
      </c>
      <c r="AM7" t="str">
        <f t="shared" si="2"/>
        <v>Actif</v>
      </c>
      <c r="AN7" s="2" t="str">
        <f t="shared" ca="1" si="3"/>
        <v>45-59 ans</v>
      </c>
      <c r="AO7" s="2" t="str">
        <f t="shared" si="4"/>
        <v>Exceeds</v>
      </c>
      <c r="AP7" s="2" t="str">
        <f t="shared" si="5"/>
        <v>SURVEILLER</v>
      </c>
    </row>
    <row r="8" spans="1:42">
      <c r="A8" s="2" t="s">
        <v>614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s="2" t="s">
        <v>60</v>
      </c>
      <c r="N8" s="2" t="s">
        <v>16</v>
      </c>
      <c r="O8">
        <v>2110</v>
      </c>
      <c r="P8" s="1">
        <v>28999</v>
      </c>
      <c r="Q8" s="2" t="s">
        <v>44</v>
      </c>
      <c r="R8" s="2" t="s">
        <v>18</v>
      </c>
      <c r="S8" s="2" t="s">
        <v>19</v>
      </c>
      <c r="T8" s="2" t="s">
        <v>20</v>
      </c>
      <c r="U8" s="2" t="s">
        <v>21</v>
      </c>
      <c r="V8" s="1">
        <v>41923</v>
      </c>
      <c r="W8" s="1"/>
      <c r="X8" s="2" t="s">
        <v>22</v>
      </c>
      <c r="Y8" s="2" t="s">
        <v>23</v>
      </c>
      <c r="Z8" s="2" t="s">
        <v>62</v>
      </c>
      <c r="AA8" s="2" t="s">
        <v>63</v>
      </c>
      <c r="AB8">
        <v>10</v>
      </c>
      <c r="AC8" s="2" t="s">
        <v>26</v>
      </c>
      <c r="AD8" s="2" t="s">
        <v>39</v>
      </c>
      <c r="AE8" s="2" t="s">
        <v>64</v>
      </c>
      <c r="AF8">
        <v>3</v>
      </c>
      <c r="AG8">
        <v>4</v>
      </c>
      <c r="AH8">
        <v>43497</v>
      </c>
      <c r="AI8">
        <v>0</v>
      </c>
      <c r="AJ8">
        <v>19</v>
      </c>
      <c r="AK8">
        <f t="shared" ca="1" si="0"/>
        <v>46</v>
      </c>
      <c r="AL8">
        <f t="shared" ca="1" si="1"/>
        <v>11</v>
      </c>
      <c r="AM8" t="str">
        <f t="shared" si="2"/>
        <v>Actif</v>
      </c>
      <c r="AN8" s="2" t="str">
        <f t="shared" ca="1" si="3"/>
        <v>45-59 ans</v>
      </c>
      <c r="AO8" s="2" t="str">
        <f t="shared" si="4"/>
        <v>Fully Meets</v>
      </c>
      <c r="AP8" s="2" t="str">
        <f t="shared" si="5"/>
        <v>SURVEILLER</v>
      </c>
    </row>
    <row r="9" spans="1:42">
      <c r="A9" s="2" t="s">
        <v>615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s="2" t="s">
        <v>15</v>
      </c>
      <c r="N9" s="2" t="s">
        <v>16</v>
      </c>
      <c r="O9">
        <v>2199</v>
      </c>
      <c r="P9" s="1">
        <v>30365</v>
      </c>
      <c r="Q9" s="2" t="s">
        <v>17</v>
      </c>
      <c r="R9" s="2" t="s">
        <v>66</v>
      </c>
      <c r="S9" s="2" t="s">
        <v>19</v>
      </c>
      <c r="T9" s="2" t="s">
        <v>20</v>
      </c>
      <c r="U9" s="2" t="s">
        <v>21</v>
      </c>
      <c r="V9" s="1">
        <v>41547</v>
      </c>
      <c r="W9" s="1"/>
      <c r="X9" s="2" t="s">
        <v>22</v>
      </c>
      <c r="Y9" s="2" t="s">
        <v>23</v>
      </c>
      <c r="Z9" s="2" t="s">
        <v>24</v>
      </c>
      <c r="AA9" s="2" t="s">
        <v>68</v>
      </c>
      <c r="AB9">
        <v>19</v>
      </c>
      <c r="AC9" s="2" t="s">
        <v>69</v>
      </c>
      <c r="AD9" s="2" t="s">
        <v>39</v>
      </c>
      <c r="AE9" s="2" t="s">
        <v>57</v>
      </c>
      <c r="AF9">
        <v>4</v>
      </c>
      <c r="AG9">
        <v>0</v>
      </c>
      <c r="AH9" t="s">
        <v>70</v>
      </c>
      <c r="AI9">
        <v>0</v>
      </c>
      <c r="AJ9">
        <v>19</v>
      </c>
      <c r="AK9">
        <f t="shared" ca="1" si="0"/>
        <v>43</v>
      </c>
      <c r="AL9">
        <f t="shared" ca="1" si="1"/>
        <v>12</v>
      </c>
      <c r="AM9" t="str">
        <f t="shared" si="2"/>
        <v>Actif</v>
      </c>
      <c r="AN9" s="2" t="str">
        <f t="shared" ca="1" si="3"/>
        <v>30-44 ans</v>
      </c>
      <c r="AO9" s="2" t="str">
        <f t="shared" si="4"/>
        <v>Fully Meets</v>
      </c>
      <c r="AP9" s="2" t="str">
        <f t="shared" si="5"/>
        <v>SURVEILLER</v>
      </c>
    </row>
    <row r="10" spans="1:42">
      <c r="A10" s="2" t="s">
        <v>616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s="2" t="s">
        <v>15</v>
      </c>
      <c r="N10" s="2" t="s">
        <v>16</v>
      </c>
      <c r="O10">
        <v>1902</v>
      </c>
      <c r="P10" s="1">
        <v>25874</v>
      </c>
      <c r="Q10" s="2" t="s">
        <v>44</v>
      </c>
      <c r="R10" s="2" t="s">
        <v>18</v>
      </c>
      <c r="S10" s="2" t="s">
        <v>19</v>
      </c>
      <c r="T10" s="2" t="s">
        <v>20</v>
      </c>
      <c r="U10" s="2" t="s">
        <v>71</v>
      </c>
      <c r="V10" s="1">
        <v>39971</v>
      </c>
      <c r="W10" s="1"/>
      <c r="X10" s="2" t="s">
        <v>22</v>
      </c>
      <c r="Y10" s="2" t="s">
        <v>23</v>
      </c>
      <c r="Z10" s="2" t="s">
        <v>24</v>
      </c>
      <c r="AA10" s="2" t="s">
        <v>72</v>
      </c>
      <c r="AB10">
        <v>12</v>
      </c>
      <c r="AC10" s="2" t="s">
        <v>73</v>
      </c>
      <c r="AD10" s="2" t="s">
        <v>39</v>
      </c>
      <c r="AE10" s="2" t="s">
        <v>74</v>
      </c>
      <c r="AF10">
        <v>3</v>
      </c>
      <c r="AG10">
        <v>0</v>
      </c>
      <c r="AH10" t="s">
        <v>75</v>
      </c>
      <c r="AI10">
        <v>0</v>
      </c>
      <c r="AJ10">
        <v>4</v>
      </c>
      <c r="AK10">
        <f t="shared" ca="1" si="0"/>
        <v>55</v>
      </c>
      <c r="AL10">
        <f t="shared" ca="1" si="1"/>
        <v>16</v>
      </c>
      <c r="AM10" t="str">
        <f t="shared" si="2"/>
        <v>Actif</v>
      </c>
      <c r="AN10" s="2" t="str">
        <f t="shared" ca="1" si="3"/>
        <v>45-59 ans</v>
      </c>
      <c r="AO10" s="2" t="str">
        <f t="shared" si="4"/>
        <v>Fully Meets</v>
      </c>
      <c r="AP10" s="2" t="str">
        <f t="shared" si="5"/>
        <v>FAIBLE</v>
      </c>
    </row>
    <row r="11" spans="1:42">
      <c r="A11" s="2" t="s">
        <v>617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s="2" t="s">
        <v>76</v>
      </c>
      <c r="N11" s="2" t="s">
        <v>16</v>
      </c>
      <c r="O11">
        <v>1886</v>
      </c>
      <c r="P11" s="1">
        <v>32325</v>
      </c>
      <c r="Q11" s="2" t="s">
        <v>17</v>
      </c>
      <c r="R11" s="2" t="s">
        <v>53</v>
      </c>
      <c r="S11" s="2" t="s">
        <v>19</v>
      </c>
      <c r="T11" s="2" t="s">
        <v>20</v>
      </c>
      <c r="U11" s="2" t="s">
        <v>21</v>
      </c>
      <c r="V11" s="1">
        <v>42125</v>
      </c>
      <c r="W11" s="1"/>
      <c r="X11" s="2" t="s">
        <v>22</v>
      </c>
      <c r="Y11" s="2" t="s">
        <v>23</v>
      </c>
      <c r="Z11" s="2" t="s">
        <v>36</v>
      </c>
      <c r="AA11" s="2" t="s">
        <v>77</v>
      </c>
      <c r="AB11">
        <v>7</v>
      </c>
      <c r="AC11" s="2" t="s">
        <v>38</v>
      </c>
      <c r="AD11" s="2" t="s">
        <v>39</v>
      </c>
      <c r="AE11" s="2" t="s">
        <v>57</v>
      </c>
      <c r="AF11">
        <v>5</v>
      </c>
      <c r="AG11">
        <v>6</v>
      </c>
      <c r="AH11" t="s">
        <v>78</v>
      </c>
      <c r="AI11">
        <v>0</v>
      </c>
      <c r="AJ11">
        <v>16</v>
      </c>
      <c r="AK11">
        <f t="shared" ca="1" si="0"/>
        <v>37</v>
      </c>
      <c r="AL11">
        <f t="shared" ca="1" si="1"/>
        <v>10</v>
      </c>
      <c r="AM11" t="str">
        <f t="shared" si="2"/>
        <v>Actif</v>
      </c>
      <c r="AN11" s="2" t="str">
        <f t="shared" ca="1" si="3"/>
        <v>30-44 ans</v>
      </c>
      <c r="AO11" s="2" t="str">
        <f t="shared" si="4"/>
        <v>Fully Meets</v>
      </c>
      <c r="AP11" s="2" t="str">
        <f t="shared" si="5"/>
        <v>SURVEILLER</v>
      </c>
    </row>
    <row r="12" spans="1:42">
      <c r="A12" s="2" t="s">
        <v>618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s="2" t="s">
        <v>15</v>
      </c>
      <c r="N12" s="2" t="s">
        <v>16</v>
      </c>
      <c r="O12">
        <v>1902</v>
      </c>
      <c r="P12" s="1">
        <v>27364</v>
      </c>
      <c r="Q12" s="2" t="s">
        <v>44</v>
      </c>
      <c r="R12" s="2" t="s">
        <v>31</v>
      </c>
      <c r="S12" s="2" t="s">
        <v>19</v>
      </c>
      <c r="T12" s="2" t="s">
        <v>79</v>
      </c>
      <c r="U12" s="2" t="s">
        <v>71</v>
      </c>
      <c r="V12" s="1">
        <v>40817</v>
      </c>
      <c r="W12" s="1">
        <v>43070</v>
      </c>
      <c r="X12" s="2" t="s">
        <v>80</v>
      </c>
      <c r="Y12" s="2" t="s">
        <v>35</v>
      </c>
      <c r="Z12" s="2" t="s">
        <v>24</v>
      </c>
      <c r="AA12" s="2" t="s">
        <v>81</v>
      </c>
      <c r="AB12">
        <v>14</v>
      </c>
      <c r="AC12" s="2" t="s">
        <v>73</v>
      </c>
      <c r="AD12" s="2" t="s">
        <v>39</v>
      </c>
      <c r="AE12" s="2" t="s">
        <v>82</v>
      </c>
      <c r="AF12">
        <v>4</v>
      </c>
      <c r="AG12">
        <v>0</v>
      </c>
      <c r="AH12" t="s">
        <v>83</v>
      </c>
      <c r="AI12">
        <v>0</v>
      </c>
      <c r="AJ12">
        <v>12</v>
      </c>
      <c r="AK12">
        <f t="shared" ca="1" si="0"/>
        <v>51</v>
      </c>
      <c r="AL12">
        <f t="shared" ca="1" si="1"/>
        <v>6</v>
      </c>
      <c r="AM12" t="str">
        <f t="shared" si="2"/>
        <v>Volontaire</v>
      </c>
      <c r="AN12" s="2" t="str">
        <f t="shared" ca="1" si="3"/>
        <v>45-59 ans</v>
      </c>
      <c r="AO12" s="2" t="str">
        <f t="shared" si="4"/>
        <v>Fully Meets</v>
      </c>
      <c r="AP12" s="2" t="str">
        <f t="shared" si="5"/>
        <v>SURVEILLER</v>
      </c>
    </row>
    <row r="13" spans="1:42">
      <c r="A13" s="2" t="s">
        <v>619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s="2" t="s">
        <v>15</v>
      </c>
      <c r="N13" s="2" t="s">
        <v>16</v>
      </c>
      <c r="O13">
        <v>2062</v>
      </c>
      <c r="P13" s="1">
        <v>27081</v>
      </c>
      <c r="Q13" s="2" t="s">
        <v>17</v>
      </c>
      <c r="R13" s="2" t="s">
        <v>31</v>
      </c>
      <c r="S13" s="2" t="s">
        <v>19</v>
      </c>
      <c r="T13" s="2" t="s">
        <v>79</v>
      </c>
      <c r="U13" s="2" t="s">
        <v>71</v>
      </c>
      <c r="V13" s="1">
        <v>40943</v>
      </c>
      <c r="W13" s="1">
        <v>42632</v>
      </c>
      <c r="X13" s="2" t="s">
        <v>86</v>
      </c>
      <c r="Y13" s="2" t="s">
        <v>35</v>
      </c>
      <c r="Z13" s="2" t="s">
        <v>24</v>
      </c>
      <c r="AA13" s="2" t="s">
        <v>47</v>
      </c>
      <c r="AB13">
        <v>20</v>
      </c>
      <c r="AC13" s="2" t="s">
        <v>73</v>
      </c>
      <c r="AD13" s="2" t="s">
        <v>39</v>
      </c>
      <c r="AE13" s="2" t="s">
        <v>82</v>
      </c>
      <c r="AF13">
        <v>3</v>
      </c>
      <c r="AG13">
        <v>0</v>
      </c>
      <c r="AH13">
        <v>42526</v>
      </c>
      <c r="AI13">
        <v>0</v>
      </c>
      <c r="AJ13">
        <v>15</v>
      </c>
      <c r="AK13">
        <f t="shared" ca="1" si="0"/>
        <v>52</v>
      </c>
      <c r="AL13">
        <f t="shared" ca="1" si="1"/>
        <v>4</v>
      </c>
      <c r="AM13" t="str">
        <f t="shared" si="2"/>
        <v>Volontaire</v>
      </c>
      <c r="AN13" s="2" t="str">
        <f t="shared" ca="1" si="3"/>
        <v>45-59 ans</v>
      </c>
      <c r="AO13" s="2" t="str">
        <f t="shared" si="4"/>
        <v>Fully Meets</v>
      </c>
      <c r="AP13" s="2" t="str">
        <f t="shared" si="5"/>
        <v>SURVEILLER</v>
      </c>
    </row>
    <row r="14" spans="1:42">
      <c r="A14" s="2" t="s">
        <v>620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s="2" t="s">
        <v>87</v>
      </c>
      <c r="N14" s="2" t="s">
        <v>88</v>
      </c>
      <c r="O14">
        <v>78230</v>
      </c>
      <c r="P14" s="1">
        <v>32240</v>
      </c>
      <c r="Q14" s="2" t="s">
        <v>17</v>
      </c>
      <c r="R14" s="2" t="s">
        <v>53</v>
      </c>
      <c r="S14" s="2" t="s">
        <v>19</v>
      </c>
      <c r="T14" s="2" t="s">
        <v>20</v>
      </c>
      <c r="U14" s="2" t="s">
        <v>71</v>
      </c>
      <c r="V14" s="1">
        <v>41923</v>
      </c>
      <c r="W14" s="1"/>
      <c r="X14" s="2" t="s">
        <v>22</v>
      </c>
      <c r="Y14" s="2" t="s">
        <v>23</v>
      </c>
      <c r="Z14" s="2" t="s">
        <v>36</v>
      </c>
      <c r="AA14" s="2" t="s">
        <v>37</v>
      </c>
      <c r="AB14">
        <v>4</v>
      </c>
      <c r="AC14" s="2" t="s">
        <v>73</v>
      </c>
      <c r="AD14" s="2" t="s">
        <v>27</v>
      </c>
      <c r="AE14" s="2" t="s">
        <v>89</v>
      </c>
      <c r="AF14">
        <v>4</v>
      </c>
      <c r="AG14">
        <v>5</v>
      </c>
      <c r="AH14" t="s">
        <v>70</v>
      </c>
      <c r="AI14">
        <v>0</v>
      </c>
      <c r="AJ14">
        <v>9</v>
      </c>
      <c r="AK14">
        <f t="shared" ca="1" si="0"/>
        <v>37</v>
      </c>
      <c r="AL14">
        <f t="shared" ca="1" si="1"/>
        <v>11</v>
      </c>
      <c r="AM14" t="str">
        <f t="shared" si="2"/>
        <v>Actif</v>
      </c>
      <c r="AN14" s="2" t="str">
        <f t="shared" ca="1" si="3"/>
        <v>30-44 ans</v>
      </c>
      <c r="AO14" s="2" t="str">
        <f t="shared" si="4"/>
        <v>Exceeds</v>
      </c>
      <c r="AP14" s="2" t="str">
        <f t="shared" si="5"/>
        <v>FAIBLE</v>
      </c>
    </row>
    <row r="15" spans="1:42">
      <c r="A15" s="2" t="s">
        <v>621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s="2" t="s">
        <v>15</v>
      </c>
      <c r="N15" s="2" t="s">
        <v>16</v>
      </c>
      <c r="O15">
        <v>1810</v>
      </c>
      <c r="P15" s="1">
        <v>30517</v>
      </c>
      <c r="Q15" s="2" t="s">
        <v>17</v>
      </c>
      <c r="R15" s="2" t="s">
        <v>18</v>
      </c>
      <c r="S15" s="2" t="s">
        <v>19</v>
      </c>
      <c r="T15" s="2" t="s">
        <v>20</v>
      </c>
      <c r="U15" s="2" t="s">
        <v>91</v>
      </c>
      <c r="V15" s="1">
        <v>40959</v>
      </c>
      <c r="W15" s="1"/>
      <c r="X15" s="2" t="s">
        <v>22</v>
      </c>
      <c r="Y15" s="2" t="s">
        <v>23</v>
      </c>
      <c r="Z15" s="2" t="s">
        <v>24</v>
      </c>
      <c r="AA15" s="2" t="s">
        <v>93</v>
      </c>
      <c r="AB15">
        <v>18</v>
      </c>
      <c r="AC15" s="2" t="s">
        <v>56</v>
      </c>
      <c r="AD15" s="2" t="s">
        <v>39</v>
      </c>
      <c r="AE15" s="2" t="s">
        <v>28</v>
      </c>
      <c r="AF15">
        <v>4</v>
      </c>
      <c r="AG15">
        <v>0</v>
      </c>
      <c r="AH15" t="s">
        <v>94</v>
      </c>
      <c r="AI15">
        <v>0</v>
      </c>
      <c r="AJ15">
        <v>7</v>
      </c>
      <c r="AK15">
        <f t="shared" ca="1" si="0"/>
        <v>42</v>
      </c>
      <c r="AL15">
        <f t="shared" ca="1" si="1"/>
        <v>14</v>
      </c>
      <c r="AM15" t="str">
        <f t="shared" si="2"/>
        <v>Actif</v>
      </c>
      <c r="AN15" s="2" t="str">
        <f t="shared" ca="1" si="3"/>
        <v>30-44 ans</v>
      </c>
      <c r="AO15" s="2" t="str">
        <f t="shared" si="4"/>
        <v>Fully Meets</v>
      </c>
      <c r="AP15" s="2" t="str">
        <f t="shared" si="5"/>
        <v>FAIBLE</v>
      </c>
    </row>
    <row r="16" spans="1:42">
      <c r="A16" s="2" t="s">
        <v>622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s="2" t="s">
        <v>15</v>
      </c>
      <c r="N16" s="2" t="s">
        <v>16</v>
      </c>
      <c r="O16">
        <v>2747</v>
      </c>
      <c r="P16" s="1">
        <v>28321</v>
      </c>
      <c r="Q16" s="2" t="s">
        <v>17</v>
      </c>
      <c r="R16" s="2" t="s">
        <v>53</v>
      </c>
      <c r="S16" s="2" t="s">
        <v>19</v>
      </c>
      <c r="T16" s="2" t="s">
        <v>20</v>
      </c>
      <c r="U16" s="2" t="s">
        <v>21</v>
      </c>
      <c r="V16" s="1">
        <v>41176</v>
      </c>
      <c r="W16" s="1">
        <v>42890</v>
      </c>
      <c r="X16" s="2" t="s">
        <v>80</v>
      </c>
      <c r="Y16" s="2" t="s">
        <v>35</v>
      </c>
      <c r="Z16" s="2" t="s">
        <v>24</v>
      </c>
      <c r="AA16" s="2" t="s">
        <v>25</v>
      </c>
      <c r="AB16">
        <v>22</v>
      </c>
      <c r="AC16" s="2" t="s">
        <v>96</v>
      </c>
      <c r="AD16" s="2" t="s">
        <v>39</v>
      </c>
      <c r="AE16" s="2" t="s">
        <v>57</v>
      </c>
      <c r="AF16">
        <v>5</v>
      </c>
      <c r="AG16">
        <v>0</v>
      </c>
      <c r="AH16">
        <v>42769</v>
      </c>
      <c r="AI16">
        <v>0</v>
      </c>
      <c r="AJ16">
        <v>1</v>
      </c>
      <c r="AK16">
        <f t="shared" ca="1" si="0"/>
        <v>48</v>
      </c>
      <c r="AL16">
        <f t="shared" ca="1" si="1"/>
        <v>4</v>
      </c>
      <c r="AM16" t="str">
        <f t="shared" si="2"/>
        <v>Volontaire</v>
      </c>
      <c r="AN16" s="2" t="str">
        <f t="shared" ca="1" si="3"/>
        <v>45-59 ans</v>
      </c>
      <c r="AO16" s="2" t="str">
        <f t="shared" si="4"/>
        <v>Fully Meets</v>
      </c>
      <c r="AP16" s="2" t="str">
        <f t="shared" si="5"/>
        <v>FAIBLE</v>
      </c>
    </row>
    <row r="17" spans="1:42">
      <c r="A17" s="2" t="s">
        <v>623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s="2" t="s">
        <v>15</v>
      </c>
      <c r="N17" s="2" t="s">
        <v>16</v>
      </c>
      <c r="O17">
        <v>2050</v>
      </c>
      <c r="P17" s="1">
        <v>29877</v>
      </c>
      <c r="Q17" s="2" t="s">
        <v>17</v>
      </c>
      <c r="R17" s="2" t="s">
        <v>18</v>
      </c>
      <c r="S17" s="2" t="s">
        <v>19</v>
      </c>
      <c r="T17" s="2" t="s">
        <v>20</v>
      </c>
      <c r="U17" s="2" t="s">
        <v>21</v>
      </c>
      <c r="V17" s="1">
        <v>40595</v>
      </c>
      <c r="W17" s="1">
        <v>42833</v>
      </c>
      <c r="X17" s="2" t="s">
        <v>99</v>
      </c>
      <c r="Y17" s="2" t="s">
        <v>100</v>
      </c>
      <c r="Z17" s="2" t="s">
        <v>24</v>
      </c>
      <c r="AA17" s="2" t="s">
        <v>93</v>
      </c>
      <c r="AB17">
        <v>18</v>
      </c>
      <c r="AC17" s="2" t="s">
        <v>56</v>
      </c>
      <c r="AD17" s="2" t="s">
        <v>39</v>
      </c>
      <c r="AE17" s="2" t="s">
        <v>57</v>
      </c>
      <c r="AF17">
        <v>4</v>
      </c>
      <c r="AG17">
        <v>0</v>
      </c>
      <c r="AH17">
        <v>42859</v>
      </c>
      <c r="AI17">
        <v>0</v>
      </c>
      <c r="AJ17">
        <v>20</v>
      </c>
      <c r="AK17">
        <f t="shared" ca="1" si="0"/>
        <v>44</v>
      </c>
      <c r="AL17">
        <f t="shared" ca="1" si="1"/>
        <v>6</v>
      </c>
      <c r="AM17" t="str">
        <f t="shared" si="2"/>
        <v>Involontaire</v>
      </c>
      <c r="AN17" s="2" t="str">
        <f t="shared" ca="1" si="3"/>
        <v>30-44 ans</v>
      </c>
      <c r="AO17" s="2" t="str">
        <f t="shared" si="4"/>
        <v>Fully Meets</v>
      </c>
      <c r="AP17" s="2" t="str">
        <f t="shared" si="5"/>
        <v>SURVEILLER</v>
      </c>
    </row>
    <row r="18" spans="1:42">
      <c r="A18" s="2" t="s">
        <v>624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s="2" t="s">
        <v>42</v>
      </c>
      <c r="N18" s="2" t="s">
        <v>16</v>
      </c>
      <c r="O18">
        <v>2145</v>
      </c>
      <c r="P18" s="1">
        <v>24214</v>
      </c>
      <c r="Q18" s="2" t="s">
        <v>44</v>
      </c>
      <c r="R18" s="2" t="s">
        <v>31</v>
      </c>
      <c r="S18" s="2" t="s">
        <v>19</v>
      </c>
      <c r="T18" s="2" t="s">
        <v>20</v>
      </c>
      <c r="U18" s="2" t="s">
        <v>21</v>
      </c>
      <c r="V18" s="1">
        <v>42572</v>
      </c>
      <c r="W18" s="1"/>
      <c r="X18" s="2" t="s">
        <v>22</v>
      </c>
      <c r="Y18" s="2" t="s">
        <v>23</v>
      </c>
      <c r="Z18" s="2" t="s">
        <v>24</v>
      </c>
      <c r="AA18" s="2" t="s">
        <v>93</v>
      </c>
      <c r="AB18">
        <v>18</v>
      </c>
      <c r="AC18" s="2" t="s">
        <v>69</v>
      </c>
      <c r="AD18" s="2" t="s">
        <v>27</v>
      </c>
      <c r="AE18" s="2" t="s">
        <v>103</v>
      </c>
      <c r="AF18">
        <v>3</v>
      </c>
      <c r="AG18">
        <v>0</v>
      </c>
      <c r="AH18" t="s">
        <v>104</v>
      </c>
      <c r="AI18">
        <v>0</v>
      </c>
      <c r="AJ18">
        <v>16</v>
      </c>
      <c r="AK18">
        <f t="shared" ca="1" si="0"/>
        <v>59</v>
      </c>
      <c r="AL18">
        <f t="shared" ca="1" si="1"/>
        <v>9</v>
      </c>
      <c r="AM18" t="str">
        <f t="shared" si="2"/>
        <v>Actif</v>
      </c>
      <c r="AN18" s="2" t="str">
        <f t="shared" ca="1" si="3"/>
        <v>45-59 ans</v>
      </c>
      <c r="AO18" s="2" t="str">
        <f t="shared" si="4"/>
        <v>Exceeds</v>
      </c>
      <c r="AP18" s="2" t="str">
        <f t="shared" si="5"/>
        <v>SURVEILLER</v>
      </c>
    </row>
    <row r="19" spans="1:42">
      <c r="A19" s="2" t="s">
        <v>625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s="2" t="s">
        <v>15</v>
      </c>
      <c r="N19" s="2" t="s">
        <v>16</v>
      </c>
      <c r="O19">
        <v>1915</v>
      </c>
      <c r="P19" s="1">
        <v>25868</v>
      </c>
      <c r="Q19" s="2" t="s">
        <v>44</v>
      </c>
      <c r="R19" s="2" t="s">
        <v>18</v>
      </c>
      <c r="S19" s="2" t="s">
        <v>106</v>
      </c>
      <c r="T19" s="2" t="s">
        <v>20</v>
      </c>
      <c r="U19" s="2" t="s">
        <v>21</v>
      </c>
      <c r="V19" s="1">
        <v>40637</v>
      </c>
      <c r="W19" s="1"/>
      <c r="X19" s="2" t="s">
        <v>22</v>
      </c>
      <c r="Y19" s="2" t="s">
        <v>23</v>
      </c>
      <c r="Z19" s="2" t="s">
        <v>24</v>
      </c>
      <c r="AA19" s="2" t="s">
        <v>51</v>
      </c>
      <c r="AB19">
        <v>16</v>
      </c>
      <c r="AC19" s="2" t="s">
        <v>56</v>
      </c>
      <c r="AD19" s="2" t="s">
        <v>39</v>
      </c>
      <c r="AE19" s="2" t="s">
        <v>57</v>
      </c>
      <c r="AF19">
        <v>5</v>
      </c>
      <c r="AG19">
        <v>0</v>
      </c>
      <c r="AH19" t="s">
        <v>104</v>
      </c>
      <c r="AI19">
        <v>0</v>
      </c>
      <c r="AJ19">
        <v>12</v>
      </c>
      <c r="AK19">
        <f t="shared" ca="1" si="0"/>
        <v>55</v>
      </c>
      <c r="AL19">
        <f t="shared" ca="1" si="1"/>
        <v>15</v>
      </c>
      <c r="AM19" t="str">
        <f t="shared" si="2"/>
        <v>Actif</v>
      </c>
      <c r="AN19" s="2" t="str">
        <f t="shared" ca="1" si="3"/>
        <v>45-59 ans</v>
      </c>
      <c r="AO19" s="2" t="str">
        <f t="shared" si="4"/>
        <v>Fully Meets</v>
      </c>
      <c r="AP19" s="2" t="str">
        <f t="shared" si="5"/>
        <v>SURVEILLER</v>
      </c>
    </row>
    <row r="20" spans="1:42">
      <c r="A20" s="2" t="s">
        <v>626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s="2" t="s">
        <v>107</v>
      </c>
      <c r="N20" s="2" t="s">
        <v>16</v>
      </c>
      <c r="O20">
        <v>2026</v>
      </c>
      <c r="P20" s="1">
        <v>31506</v>
      </c>
      <c r="Q20" s="2" t="s">
        <v>44</v>
      </c>
      <c r="R20" s="2" t="s">
        <v>18</v>
      </c>
      <c r="S20" s="2" t="s">
        <v>19</v>
      </c>
      <c r="T20" s="2" t="s">
        <v>79</v>
      </c>
      <c r="U20" s="2" t="s">
        <v>21</v>
      </c>
      <c r="V20" s="1">
        <v>41827</v>
      </c>
      <c r="W20" s="1">
        <v>42347</v>
      </c>
      <c r="X20" s="2" t="s">
        <v>108</v>
      </c>
      <c r="Y20" s="2" t="s">
        <v>100</v>
      </c>
      <c r="Z20" s="2" t="s">
        <v>36</v>
      </c>
      <c r="AA20" s="2" t="s">
        <v>37</v>
      </c>
      <c r="AB20">
        <v>4</v>
      </c>
      <c r="AC20" s="2" t="s">
        <v>56</v>
      </c>
      <c r="AD20" s="2" t="s">
        <v>39</v>
      </c>
      <c r="AE20" s="2" t="s">
        <v>109</v>
      </c>
      <c r="AF20">
        <v>4</v>
      </c>
      <c r="AG20">
        <v>5</v>
      </c>
      <c r="AH20" t="s">
        <v>110</v>
      </c>
      <c r="AI20">
        <v>0</v>
      </c>
      <c r="AJ20">
        <v>8</v>
      </c>
      <c r="AK20">
        <f t="shared" ca="1" si="0"/>
        <v>40</v>
      </c>
      <c r="AL20">
        <f t="shared" ca="1" si="1"/>
        <v>1</v>
      </c>
      <c r="AM20" t="str">
        <f t="shared" si="2"/>
        <v>Involontaire</v>
      </c>
      <c r="AN20" s="2" t="str">
        <f t="shared" ca="1" si="3"/>
        <v>30-44 ans</v>
      </c>
      <c r="AO20" s="2" t="str">
        <f t="shared" si="4"/>
        <v>Fully Meets</v>
      </c>
      <c r="AP20" s="2" t="str">
        <f t="shared" si="5"/>
        <v>FAIBLE</v>
      </c>
    </row>
    <row r="21" spans="1:42">
      <c r="A21" s="2" t="s">
        <v>627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s="2" t="s">
        <v>15</v>
      </c>
      <c r="N21" s="2" t="s">
        <v>16</v>
      </c>
      <c r="O21">
        <v>2452</v>
      </c>
      <c r="P21" s="1">
        <v>29010</v>
      </c>
      <c r="Q21" s="2" t="s">
        <v>17</v>
      </c>
      <c r="R21" s="2" t="s">
        <v>18</v>
      </c>
      <c r="S21" s="2" t="s">
        <v>19</v>
      </c>
      <c r="T21" s="2" t="s">
        <v>20</v>
      </c>
      <c r="U21" s="2" t="s">
        <v>111</v>
      </c>
      <c r="V21" s="1">
        <v>41493</v>
      </c>
      <c r="W21" s="1"/>
      <c r="X21" s="2" t="s">
        <v>22</v>
      </c>
      <c r="Y21" s="2" t="s">
        <v>23</v>
      </c>
      <c r="Z21" s="2" t="s">
        <v>24</v>
      </c>
      <c r="AA21" s="2" t="s">
        <v>55</v>
      </c>
      <c r="AC21" s="2" t="s">
        <v>26</v>
      </c>
      <c r="AD21" s="2" t="s">
        <v>39</v>
      </c>
      <c r="AE21" s="2" t="s">
        <v>82</v>
      </c>
      <c r="AF21">
        <v>4</v>
      </c>
      <c r="AG21">
        <v>0</v>
      </c>
      <c r="AH21">
        <v>43770</v>
      </c>
      <c r="AI21">
        <v>0</v>
      </c>
      <c r="AJ21">
        <v>13</v>
      </c>
      <c r="AK21">
        <f t="shared" ca="1" si="0"/>
        <v>46</v>
      </c>
      <c r="AL21">
        <f t="shared" ca="1" si="1"/>
        <v>12</v>
      </c>
      <c r="AM21" t="str">
        <f t="shared" si="2"/>
        <v>Actif</v>
      </c>
      <c r="AN21" s="2" t="str">
        <f t="shared" ca="1" si="3"/>
        <v>45-59 ans</v>
      </c>
      <c r="AO21" s="2" t="str">
        <f t="shared" si="4"/>
        <v>Fully Meets</v>
      </c>
      <c r="AP21" s="2" t="str">
        <f t="shared" si="5"/>
        <v>SURVEILLER</v>
      </c>
    </row>
    <row r="22" spans="1:42">
      <c r="A22" s="2" t="s">
        <v>628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s="2" t="s">
        <v>15</v>
      </c>
      <c r="N22" s="2" t="s">
        <v>16</v>
      </c>
      <c r="O22">
        <v>2072</v>
      </c>
      <c r="P22" s="1">
        <v>25924</v>
      </c>
      <c r="Q22" s="2" t="s">
        <v>17</v>
      </c>
      <c r="R22" s="2" t="s">
        <v>18</v>
      </c>
      <c r="S22" s="2" t="s">
        <v>19</v>
      </c>
      <c r="T22" s="2" t="s">
        <v>79</v>
      </c>
      <c r="U22" s="2" t="s">
        <v>21</v>
      </c>
      <c r="V22" s="1">
        <v>40943</v>
      </c>
      <c r="W22" s="1"/>
      <c r="X22" s="2" t="s">
        <v>22</v>
      </c>
      <c r="Y22" s="2" t="s">
        <v>23</v>
      </c>
      <c r="Z22" s="2" t="s">
        <v>24</v>
      </c>
      <c r="AA22" s="2" t="s">
        <v>59</v>
      </c>
      <c r="AB22">
        <v>11</v>
      </c>
      <c r="AC22" s="2" t="s">
        <v>56</v>
      </c>
      <c r="AD22" s="2" t="s">
        <v>39</v>
      </c>
      <c r="AE22" s="2" t="s">
        <v>57</v>
      </c>
      <c r="AF22">
        <v>3</v>
      </c>
      <c r="AG22">
        <v>0</v>
      </c>
      <c r="AH22" t="s">
        <v>104</v>
      </c>
      <c r="AI22">
        <v>0</v>
      </c>
      <c r="AJ22">
        <v>13</v>
      </c>
      <c r="AK22">
        <f t="shared" ca="1" si="0"/>
        <v>55</v>
      </c>
      <c r="AL22">
        <f t="shared" ca="1" si="1"/>
        <v>14</v>
      </c>
      <c r="AM22" t="str">
        <f t="shared" si="2"/>
        <v>Actif</v>
      </c>
      <c r="AN22" s="2" t="str">
        <f t="shared" ca="1" si="3"/>
        <v>45-59 ans</v>
      </c>
      <c r="AO22" s="2" t="str">
        <f t="shared" si="4"/>
        <v>Fully Meets</v>
      </c>
      <c r="AP22" s="2" t="str">
        <f t="shared" si="5"/>
        <v>SURVEILLER</v>
      </c>
    </row>
    <row r="23" spans="1:42">
      <c r="A23" s="2" t="s">
        <v>629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s="2" t="s">
        <v>15</v>
      </c>
      <c r="N23" s="2" t="s">
        <v>16</v>
      </c>
      <c r="O23">
        <v>2027</v>
      </c>
      <c r="P23" s="1">
        <v>21546</v>
      </c>
      <c r="Q23" s="2" t="s">
        <v>44</v>
      </c>
      <c r="R23" s="2" t="s">
        <v>53</v>
      </c>
      <c r="S23" s="2" t="s">
        <v>19</v>
      </c>
      <c r="T23" s="2" t="s">
        <v>20</v>
      </c>
      <c r="U23" s="2" t="s">
        <v>111</v>
      </c>
      <c r="V23" s="1">
        <v>41505</v>
      </c>
      <c r="W23" s="1"/>
      <c r="X23" s="2" t="s">
        <v>22</v>
      </c>
      <c r="Y23" s="2" t="s">
        <v>23</v>
      </c>
      <c r="Z23" s="2" t="s">
        <v>24</v>
      </c>
      <c r="AA23" s="2" t="s">
        <v>68</v>
      </c>
      <c r="AB23">
        <v>19</v>
      </c>
      <c r="AC23" s="2" t="s">
        <v>38</v>
      </c>
      <c r="AD23" s="2" t="s">
        <v>39</v>
      </c>
      <c r="AE23" s="2" t="s">
        <v>82</v>
      </c>
      <c r="AF23">
        <v>3</v>
      </c>
      <c r="AG23">
        <v>0</v>
      </c>
      <c r="AH23">
        <v>43739</v>
      </c>
      <c r="AI23">
        <v>0</v>
      </c>
      <c r="AJ23">
        <v>2</v>
      </c>
      <c r="AK23">
        <f t="shared" ca="1" si="0"/>
        <v>67</v>
      </c>
      <c r="AL23">
        <f t="shared" ca="1" si="1"/>
        <v>12</v>
      </c>
      <c r="AM23" t="str">
        <f t="shared" si="2"/>
        <v>Actif</v>
      </c>
      <c r="AN23" s="2" t="str">
        <f t="shared" ca="1" si="3"/>
        <v>60 ans et plus</v>
      </c>
      <c r="AO23" s="2" t="str">
        <f t="shared" si="4"/>
        <v>Fully Meets</v>
      </c>
      <c r="AP23" s="2" t="str">
        <f t="shared" si="5"/>
        <v>FAIBLE</v>
      </c>
    </row>
    <row r="24" spans="1:42">
      <c r="A24" s="2" t="s">
        <v>630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s="2" t="s">
        <v>15</v>
      </c>
      <c r="N24" s="2" t="s">
        <v>16</v>
      </c>
      <c r="O24">
        <v>2031</v>
      </c>
      <c r="P24" s="1">
        <v>32517</v>
      </c>
      <c r="Q24" s="2" t="s">
        <v>44</v>
      </c>
      <c r="R24" s="2" t="s">
        <v>31</v>
      </c>
      <c r="S24" s="2" t="s">
        <v>19</v>
      </c>
      <c r="T24" s="2" t="s">
        <v>20</v>
      </c>
      <c r="U24" s="2" t="s">
        <v>21</v>
      </c>
      <c r="V24" s="1">
        <v>41827</v>
      </c>
      <c r="W24" s="1"/>
      <c r="X24" s="2" t="s">
        <v>22</v>
      </c>
      <c r="Y24" s="2" t="s">
        <v>23</v>
      </c>
      <c r="Z24" s="2" t="s">
        <v>24</v>
      </c>
      <c r="AA24" s="2" t="s">
        <v>72</v>
      </c>
      <c r="AB24">
        <v>12</v>
      </c>
      <c r="AC24" s="2" t="s">
        <v>38</v>
      </c>
      <c r="AD24" s="2" t="s">
        <v>27</v>
      </c>
      <c r="AE24" s="2" t="s">
        <v>57</v>
      </c>
      <c r="AF24">
        <v>3</v>
      </c>
      <c r="AG24">
        <v>0</v>
      </c>
      <c r="AH24" t="s">
        <v>115</v>
      </c>
      <c r="AI24">
        <v>0</v>
      </c>
      <c r="AJ24">
        <v>19</v>
      </c>
      <c r="AK24">
        <f t="shared" ca="1" si="0"/>
        <v>37</v>
      </c>
      <c r="AL24">
        <f t="shared" ca="1" si="1"/>
        <v>11</v>
      </c>
      <c r="AM24" t="str">
        <f t="shared" si="2"/>
        <v>Actif</v>
      </c>
      <c r="AN24" s="2" t="str">
        <f t="shared" ca="1" si="3"/>
        <v>30-44 ans</v>
      </c>
      <c r="AO24" s="2" t="str">
        <f t="shared" si="4"/>
        <v>Exceeds</v>
      </c>
      <c r="AP24" s="2" t="str">
        <f t="shared" si="5"/>
        <v>SURVEILLER</v>
      </c>
    </row>
    <row r="25" spans="1:42">
      <c r="A25" s="2" t="s">
        <v>631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s="2" t="s">
        <v>42</v>
      </c>
      <c r="N25" s="2" t="s">
        <v>16</v>
      </c>
      <c r="O25">
        <v>2171</v>
      </c>
      <c r="P25" s="1">
        <v>33137</v>
      </c>
      <c r="Q25" s="2" t="s">
        <v>44</v>
      </c>
      <c r="R25" s="2" t="s">
        <v>18</v>
      </c>
      <c r="S25" s="2" t="s">
        <v>19</v>
      </c>
      <c r="T25" s="2" t="s">
        <v>20</v>
      </c>
      <c r="U25" s="2" t="s">
        <v>21</v>
      </c>
      <c r="V25" s="1">
        <v>40637</v>
      </c>
      <c r="W25" s="1"/>
      <c r="X25" s="2" t="s">
        <v>22</v>
      </c>
      <c r="Y25" s="2" t="s">
        <v>23</v>
      </c>
      <c r="Z25" s="2" t="s">
        <v>24</v>
      </c>
      <c r="AA25" s="2" t="s">
        <v>25</v>
      </c>
      <c r="AB25">
        <v>22</v>
      </c>
      <c r="AC25" s="2" t="s">
        <v>117</v>
      </c>
      <c r="AD25" s="2" t="s">
        <v>118</v>
      </c>
      <c r="AE25" s="2" t="s">
        <v>119</v>
      </c>
      <c r="AF25">
        <v>3</v>
      </c>
      <c r="AG25">
        <v>0</v>
      </c>
      <c r="AH25" t="s">
        <v>115</v>
      </c>
      <c r="AI25">
        <v>2</v>
      </c>
      <c r="AJ25">
        <v>3</v>
      </c>
      <c r="AK25">
        <f t="shared" ca="1" si="0"/>
        <v>35</v>
      </c>
      <c r="AL25">
        <f t="shared" ca="1" si="1"/>
        <v>15</v>
      </c>
      <c r="AM25" t="str">
        <f t="shared" si="2"/>
        <v>Actif</v>
      </c>
      <c r="AN25" s="2" t="str">
        <f t="shared" ca="1" si="3"/>
        <v>30-44 ans</v>
      </c>
      <c r="AO25" s="2" t="str">
        <f t="shared" si="4"/>
        <v>Needs Improvement</v>
      </c>
      <c r="AP25" s="2" t="str">
        <f t="shared" si="5"/>
        <v>FAIBLE</v>
      </c>
    </row>
    <row r="26" spans="1:42">
      <c r="A26" s="2" t="s">
        <v>632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s="2" t="s">
        <v>42</v>
      </c>
      <c r="N26" s="2" t="s">
        <v>16</v>
      </c>
      <c r="O26">
        <v>2210</v>
      </c>
      <c r="P26" s="1">
        <v>24488</v>
      </c>
      <c r="Q26" s="2" t="s">
        <v>44</v>
      </c>
      <c r="R26" s="2" t="s">
        <v>18</v>
      </c>
      <c r="S26" s="2" t="s">
        <v>19</v>
      </c>
      <c r="T26" s="2" t="s">
        <v>20</v>
      </c>
      <c r="U26" s="2" t="s">
        <v>21</v>
      </c>
      <c r="V26" s="1">
        <v>40817</v>
      </c>
      <c r="W26" s="1">
        <v>41733</v>
      </c>
      <c r="X26" s="2" t="s">
        <v>34</v>
      </c>
      <c r="Y26" s="2" t="s">
        <v>35</v>
      </c>
      <c r="Z26" s="2" t="s">
        <v>24</v>
      </c>
      <c r="AA26" s="2" t="s">
        <v>51</v>
      </c>
      <c r="AB26">
        <v>16</v>
      </c>
      <c r="AC26" s="2" t="s">
        <v>56</v>
      </c>
      <c r="AD26" s="2" t="s">
        <v>39</v>
      </c>
      <c r="AE26" s="2" t="s">
        <v>121</v>
      </c>
      <c r="AF26">
        <v>5</v>
      </c>
      <c r="AG26">
        <v>0</v>
      </c>
      <c r="AH26">
        <v>41732</v>
      </c>
      <c r="AI26">
        <v>0</v>
      </c>
      <c r="AJ26">
        <v>5</v>
      </c>
      <c r="AK26">
        <f t="shared" ca="1" si="0"/>
        <v>59</v>
      </c>
      <c r="AL26">
        <f t="shared" ca="1" si="1"/>
        <v>2</v>
      </c>
      <c r="AM26" t="str">
        <f t="shared" si="2"/>
        <v>Volontaire</v>
      </c>
      <c r="AN26" s="2" t="str">
        <f t="shared" ca="1" si="3"/>
        <v>45-59 ans</v>
      </c>
      <c r="AO26" s="2" t="str">
        <f t="shared" si="4"/>
        <v>Fully Meets</v>
      </c>
      <c r="AP26" s="2" t="str">
        <f t="shared" si="5"/>
        <v>FAIBLE</v>
      </c>
    </row>
    <row r="27" spans="1:42">
      <c r="A27" s="2" t="s">
        <v>633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s="2" t="s">
        <v>122</v>
      </c>
      <c r="N27" s="2" t="s">
        <v>123</v>
      </c>
      <c r="O27">
        <v>6033</v>
      </c>
      <c r="P27" s="1">
        <v>23588</v>
      </c>
      <c r="Q27" s="2" t="s">
        <v>17</v>
      </c>
      <c r="R27" s="2" t="s">
        <v>18</v>
      </c>
      <c r="S27" s="2" t="s">
        <v>19</v>
      </c>
      <c r="T27" s="2" t="s">
        <v>20</v>
      </c>
      <c r="U27" s="2" t="s">
        <v>71</v>
      </c>
      <c r="V27" s="1">
        <v>41687</v>
      </c>
      <c r="W27" s="1">
        <v>42419</v>
      </c>
      <c r="X27" s="2" t="s">
        <v>127</v>
      </c>
      <c r="Y27" s="2" t="s">
        <v>100</v>
      </c>
      <c r="Z27" s="2" t="s">
        <v>36</v>
      </c>
      <c r="AA27" s="2" t="s">
        <v>37</v>
      </c>
      <c r="AB27">
        <v>4</v>
      </c>
      <c r="AC27" s="2" t="s">
        <v>26</v>
      </c>
      <c r="AD27" s="2" t="s">
        <v>39</v>
      </c>
      <c r="AE27" s="2" t="s">
        <v>128</v>
      </c>
      <c r="AF27">
        <v>5</v>
      </c>
      <c r="AG27">
        <v>7</v>
      </c>
      <c r="AH27">
        <v>42644</v>
      </c>
      <c r="AI27">
        <v>0</v>
      </c>
      <c r="AJ27">
        <v>2</v>
      </c>
      <c r="AK27">
        <f t="shared" ca="1" si="0"/>
        <v>61</v>
      </c>
      <c r="AL27">
        <f t="shared" ca="1" si="1"/>
        <v>2</v>
      </c>
      <c r="AM27" t="str">
        <f t="shared" si="2"/>
        <v>Involontaire</v>
      </c>
      <c r="AN27" s="2" t="str">
        <f t="shared" ca="1" si="3"/>
        <v>60 ans et plus</v>
      </c>
      <c r="AO27" s="2" t="str">
        <f t="shared" si="4"/>
        <v>Fully Meets</v>
      </c>
      <c r="AP27" s="2" t="str">
        <f t="shared" si="5"/>
        <v>FAIBLE</v>
      </c>
    </row>
    <row r="28" spans="1:42">
      <c r="A28" s="2" t="s">
        <v>634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s="2" t="s">
        <v>129</v>
      </c>
      <c r="N28" s="2" t="s">
        <v>16</v>
      </c>
      <c r="O28">
        <v>2468</v>
      </c>
      <c r="P28" s="1">
        <v>31871</v>
      </c>
      <c r="Q28" s="2" t="s">
        <v>44</v>
      </c>
      <c r="R28" s="2" t="s">
        <v>31</v>
      </c>
      <c r="S28" s="2" t="s">
        <v>19</v>
      </c>
      <c r="T28" s="2" t="s">
        <v>20</v>
      </c>
      <c r="U28" s="2" t="s">
        <v>71</v>
      </c>
      <c r="V28" s="1">
        <v>42051</v>
      </c>
      <c r="W28" s="1"/>
      <c r="X28" s="2" t="s">
        <v>22</v>
      </c>
      <c r="Y28" s="2" t="s">
        <v>23</v>
      </c>
      <c r="Z28" s="2" t="s">
        <v>131</v>
      </c>
      <c r="AA28" s="2" t="s">
        <v>132</v>
      </c>
      <c r="AB28">
        <v>3</v>
      </c>
      <c r="AC28" s="2" t="s">
        <v>73</v>
      </c>
      <c r="AD28" s="2" t="s">
        <v>39</v>
      </c>
      <c r="AE28" s="2" t="s">
        <v>57</v>
      </c>
      <c r="AF28">
        <v>4</v>
      </c>
      <c r="AG28">
        <v>3</v>
      </c>
      <c r="AH28" t="s">
        <v>78</v>
      </c>
      <c r="AI28">
        <v>0</v>
      </c>
      <c r="AJ28">
        <v>4</v>
      </c>
      <c r="AK28">
        <f t="shared" ca="1" si="0"/>
        <v>39</v>
      </c>
      <c r="AL28">
        <f t="shared" ca="1" si="1"/>
        <v>11</v>
      </c>
      <c r="AM28" t="str">
        <f t="shared" si="2"/>
        <v>Actif</v>
      </c>
      <c r="AN28" s="2" t="str">
        <f t="shared" ca="1" si="3"/>
        <v>30-44 ans</v>
      </c>
      <c r="AO28" s="2" t="str">
        <f t="shared" si="4"/>
        <v>Fully Meets</v>
      </c>
      <c r="AP28" s="2" t="str">
        <f t="shared" si="5"/>
        <v>FAIBLE</v>
      </c>
    </row>
    <row r="29" spans="1:42">
      <c r="A29" s="2" t="s">
        <v>635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s="2" t="s">
        <v>133</v>
      </c>
      <c r="N29" s="2" t="s">
        <v>16</v>
      </c>
      <c r="O29">
        <v>1901</v>
      </c>
      <c r="P29" s="1">
        <v>25844</v>
      </c>
      <c r="Q29" s="2" t="s">
        <v>17</v>
      </c>
      <c r="R29" s="2" t="s">
        <v>18</v>
      </c>
      <c r="S29" s="2" t="s">
        <v>19</v>
      </c>
      <c r="T29" s="2" t="s">
        <v>20</v>
      </c>
      <c r="U29" s="2" t="s">
        <v>111</v>
      </c>
      <c r="V29" s="1">
        <v>41547</v>
      </c>
      <c r="W29" s="1">
        <v>41828</v>
      </c>
      <c r="X29" s="2" t="s">
        <v>134</v>
      </c>
      <c r="Y29" s="2" t="s">
        <v>35</v>
      </c>
      <c r="Z29" s="2" t="s">
        <v>24</v>
      </c>
      <c r="AA29" s="2" t="s">
        <v>135</v>
      </c>
      <c r="AB29">
        <v>2</v>
      </c>
      <c r="AC29" s="2" t="s">
        <v>38</v>
      </c>
      <c r="AD29" s="2" t="s">
        <v>39</v>
      </c>
      <c r="AE29" s="2" t="s">
        <v>136</v>
      </c>
      <c r="AF29">
        <v>3</v>
      </c>
      <c r="AG29">
        <v>0</v>
      </c>
      <c r="AH29" t="s">
        <v>137</v>
      </c>
      <c r="AI29">
        <v>0</v>
      </c>
      <c r="AJ29">
        <v>14</v>
      </c>
      <c r="AK29">
        <f t="shared" ca="1" si="0"/>
        <v>55</v>
      </c>
      <c r="AL29">
        <f t="shared" ca="1" si="1"/>
        <v>0</v>
      </c>
      <c r="AM29" t="str">
        <f t="shared" si="2"/>
        <v>Volontaire</v>
      </c>
      <c r="AN29" s="2" t="str">
        <f t="shared" ca="1" si="3"/>
        <v>45-59 ans</v>
      </c>
      <c r="AO29" s="2" t="str">
        <f t="shared" si="4"/>
        <v>Fully Meets</v>
      </c>
      <c r="AP29" s="2" t="str">
        <f t="shared" si="5"/>
        <v>SURVEILLER</v>
      </c>
    </row>
    <row r="30" spans="1:42">
      <c r="A30" s="2" t="s">
        <v>636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s="2" t="s">
        <v>15</v>
      </c>
      <c r="N30" s="2" t="s">
        <v>16</v>
      </c>
      <c r="O30">
        <v>1701</v>
      </c>
      <c r="P30" s="1">
        <v>33109</v>
      </c>
      <c r="Q30" s="2" t="s">
        <v>44</v>
      </c>
      <c r="R30" s="2" t="s">
        <v>31</v>
      </c>
      <c r="S30" s="2" t="s">
        <v>19</v>
      </c>
      <c r="T30" s="2" t="s">
        <v>20</v>
      </c>
      <c r="U30" s="2" t="s">
        <v>21</v>
      </c>
      <c r="V30" s="1">
        <v>40943</v>
      </c>
      <c r="W30" s="1">
        <v>41440</v>
      </c>
      <c r="X30" s="2" t="s">
        <v>80</v>
      </c>
      <c r="Y30" s="2" t="s">
        <v>35</v>
      </c>
      <c r="Z30" s="2" t="s">
        <v>24</v>
      </c>
      <c r="AA30" s="2" t="s">
        <v>81</v>
      </c>
      <c r="AB30">
        <v>14</v>
      </c>
      <c r="AC30" s="2" t="s">
        <v>56</v>
      </c>
      <c r="AD30" s="2" t="s">
        <v>39</v>
      </c>
      <c r="AE30" s="2" t="s">
        <v>140</v>
      </c>
      <c r="AF30">
        <v>4</v>
      </c>
      <c r="AG30">
        <v>0</v>
      </c>
      <c r="AH30">
        <v>41367</v>
      </c>
      <c r="AI30">
        <v>0</v>
      </c>
      <c r="AJ30">
        <v>6</v>
      </c>
      <c r="AK30">
        <f t="shared" ca="1" si="0"/>
        <v>35</v>
      </c>
      <c r="AL30">
        <f t="shared" ca="1" si="1"/>
        <v>1</v>
      </c>
      <c r="AM30" t="str">
        <f t="shared" si="2"/>
        <v>Volontaire</v>
      </c>
      <c r="AN30" s="2" t="str">
        <f t="shared" ca="1" si="3"/>
        <v>30-44 ans</v>
      </c>
      <c r="AO30" s="2" t="str">
        <f t="shared" si="4"/>
        <v>Fully Meets</v>
      </c>
      <c r="AP30" s="2" t="str">
        <f t="shared" si="5"/>
        <v>FAIBLE</v>
      </c>
    </row>
    <row r="31" spans="1:42">
      <c r="A31" s="2" t="s">
        <v>637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s="2" t="s">
        <v>141</v>
      </c>
      <c r="N31" s="2" t="s">
        <v>16</v>
      </c>
      <c r="O31">
        <v>1450</v>
      </c>
      <c r="P31" s="1">
        <v>32105</v>
      </c>
      <c r="Q31" s="2" t="s">
        <v>44</v>
      </c>
      <c r="R31" s="2" t="s">
        <v>31</v>
      </c>
      <c r="S31" s="2" t="s">
        <v>19</v>
      </c>
      <c r="T31" s="2" t="s">
        <v>20</v>
      </c>
      <c r="U31" s="2" t="s">
        <v>71</v>
      </c>
      <c r="V31" s="1">
        <v>39748</v>
      </c>
      <c r="W31" s="1"/>
      <c r="X31" s="2" t="s">
        <v>22</v>
      </c>
      <c r="Y31" s="2" t="s">
        <v>23</v>
      </c>
      <c r="Z31" s="2" t="s">
        <v>131</v>
      </c>
      <c r="AA31" s="2" t="s">
        <v>132</v>
      </c>
      <c r="AB31">
        <v>1</v>
      </c>
      <c r="AC31" s="2" t="s">
        <v>73</v>
      </c>
      <c r="AD31" s="2" t="s">
        <v>39</v>
      </c>
      <c r="AE31" s="2" t="s">
        <v>109</v>
      </c>
      <c r="AF31">
        <v>2</v>
      </c>
      <c r="AG31">
        <v>6</v>
      </c>
      <c r="AH31" t="s">
        <v>144</v>
      </c>
      <c r="AI31">
        <v>0</v>
      </c>
      <c r="AJ31">
        <v>14</v>
      </c>
      <c r="AK31">
        <f t="shared" ca="1" si="0"/>
        <v>38</v>
      </c>
      <c r="AL31">
        <f t="shared" ca="1" si="1"/>
        <v>17</v>
      </c>
      <c r="AM31" t="str">
        <f t="shared" si="2"/>
        <v>Actif</v>
      </c>
      <c r="AN31" s="2" t="str">
        <f t="shared" ca="1" si="3"/>
        <v>30-44 ans</v>
      </c>
      <c r="AO31" s="2" t="str">
        <f t="shared" si="4"/>
        <v>Fully Meets</v>
      </c>
      <c r="AP31" s="2" t="str">
        <f t="shared" si="5"/>
        <v>SURVEILLER</v>
      </c>
    </row>
    <row r="32" spans="1:42">
      <c r="A32" s="2" t="s">
        <v>638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s="2" t="s">
        <v>42</v>
      </c>
      <c r="N32" s="2" t="s">
        <v>16</v>
      </c>
      <c r="O32">
        <v>1013</v>
      </c>
      <c r="P32" s="1">
        <v>30525</v>
      </c>
      <c r="Q32" s="2" t="s">
        <v>17</v>
      </c>
      <c r="R32" s="2" t="s">
        <v>18</v>
      </c>
      <c r="S32" s="2" t="s">
        <v>19</v>
      </c>
      <c r="T32" s="2" t="s">
        <v>20</v>
      </c>
      <c r="U32" s="2" t="s">
        <v>21</v>
      </c>
      <c r="V32" s="1">
        <v>41911</v>
      </c>
      <c r="W32" s="1"/>
      <c r="X32" s="2" t="s">
        <v>22</v>
      </c>
      <c r="Y32" s="2" t="s">
        <v>23</v>
      </c>
      <c r="Z32" s="2" t="s">
        <v>24</v>
      </c>
      <c r="AA32" s="2" t="s">
        <v>55</v>
      </c>
      <c r="AC32" s="2" t="s">
        <v>56</v>
      </c>
      <c r="AD32" s="2" t="s">
        <v>39</v>
      </c>
      <c r="AE32" s="2" t="s">
        <v>147</v>
      </c>
      <c r="AF32">
        <v>3</v>
      </c>
      <c r="AG32">
        <v>0</v>
      </c>
      <c r="AH32">
        <v>43467</v>
      </c>
      <c r="AI32">
        <v>0</v>
      </c>
      <c r="AJ32">
        <v>9</v>
      </c>
      <c r="AK32">
        <f t="shared" ca="1" si="0"/>
        <v>42</v>
      </c>
      <c r="AL32">
        <f t="shared" ca="1" si="1"/>
        <v>11</v>
      </c>
      <c r="AM32" t="str">
        <f t="shared" si="2"/>
        <v>Actif</v>
      </c>
      <c r="AN32" s="2" t="str">
        <f t="shared" ca="1" si="3"/>
        <v>30-44 ans</v>
      </c>
      <c r="AO32" s="2" t="str">
        <f t="shared" si="4"/>
        <v>Fully Meets</v>
      </c>
      <c r="AP32" s="2" t="str">
        <f t="shared" si="5"/>
        <v>FAIBLE</v>
      </c>
    </row>
    <row r="33" spans="1:42">
      <c r="A33" s="2" t="s">
        <v>639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s="2" t="s">
        <v>15</v>
      </c>
      <c r="N33" s="2" t="s">
        <v>16</v>
      </c>
      <c r="O33">
        <v>2043</v>
      </c>
      <c r="P33" s="1">
        <v>25506</v>
      </c>
      <c r="Q33" s="2" t="s">
        <v>44</v>
      </c>
      <c r="R33" s="2" t="s">
        <v>149</v>
      </c>
      <c r="S33" s="2" t="s">
        <v>19</v>
      </c>
      <c r="T33" s="2" t="s">
        <v>20</v>
      </c>
      <c r="U33" s="2" t="s">
        <v>71</v>
      </c>
      <c r="V33" s="1">
        <v>41589</v>
      </c>
      <c r="W33" s="1"/>
      <c r="X33" s="2" t="s">
        <v>22</v>
      </c>
      <c r="Y33" s="2" t="s">
        <v>23</v>
      </c>
      <c r="Z33" s="2" t="s">
        <v>24</v>
      </c>
      <c r="AA33" s="2" t="s">
        <v>47</v>
      </c>
      <c r="AB33">
        <v>20</v>
      </c>
      <c r="AC33" s="2" t="s">
        <v>73</v>
      </c>
      <c r="AD33" s="2" t="s">
        <v>39</v>
      </c>
      <c r="AE33" s="2" t="s">
        <v>128</v>
      </c>
      <c r="AF33">
        <v>5</v>
      </c>
      <c r="AG33">
        <v>0</v>
      </c>
      <c r="AH33" t="s">
        <v>150</v>
      </c>
      <c r="AI33">
        <v>0</v>
      </c>
      <c r="AJ33">
        <v>17</v>
      </c>
      <c r="AK33">
        <f t="shared" ca="1" si="0"/>
        <v>56</v>
      </c>
      <c r="AL33">
        <f t="shared" ca="1" si="1"/>
        <v>12</v>
      </c>
      <c r="AM33" t="str">
        <f t="shared" si="2"/>
        <v>Actif</v>
      </c>
      <c r="AN33" s="2" t="str">
        <f t="shared" ca="1" si="3"/>
        <v>45-59 ans</v>
      </c>
      <c r="AO33" s="2" t="str">
        <f t="shared" si="4"/>
        <v>Fully Meets</v>
      </c>
      <c r="AP33" s="2" t="str">
        <f t="shared" si="5"/>
        <v>SURVEILLER</v>
      </c>
    </row>
    <row r="34" spans="1:42">
      <c r="A34" s="2" t="s">
        <v>640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s="2" t="s">
        <v>151</v>
      </c>
      <c r="N34" s="2" t="s">
        <v>152</v>
      </c>
      <c r="O34">
        <v>21851</v>
      </c>
      <c r="P34" s="1">
        <v>23382</v>
      </c>
      <c r="Q34" s="2" t="s">
        <v>44</v>
      </c>
      <c r="R34" s="2" t="s">
        <v>31</v>
      </c>
      <c r="S34" s="2" t="s">
        <v>106</v>
      </c>
      <c r="T34" s="2" t="s">
        <v>20</v>
      </c>
      <c r="U34" s="2" t="s">
        <v>71</v>
      </c>
      <c r="V34" s="1">
        <v>40770</v>
      </c>
      <c r="W34" s="1">
        <v>41678</v>
      </c>
      <c r="X34" s="2" t="s">
        <v>80</v>
      </c>
      <c r="Y34" s="2" t="s">
        <v>35</v>
      </c>
      <c r="Z34" s="2" t="s">
        <v>154</v>
      </c>
      <c r="AA34" s="2" t="s">
        <v>155</v>
      </c>
      <c r="AB34">
        <v>17</v>
      </c>
      <c r="AC34" s="2" t="s">
        <v>56</v>
      </c>
      <c r="AD34" s="2" t="s">
        <v>39</v>
      </c>
      <c r="AE34" s="2" t="s">
        <v>156</v>
      </c>
      <c r="AF34">
        <v>5</v>
      </c>
      <c r="AG34">
        <v>0</v>
      </c>
      <c r="AH34">
        <v>41549</v>
      </c>
      <c r="AI34">
        <v>1</v>
      </c>
      <c r="AJ34">
        <v>19</v>
      </c>
      <c r="AK34">
        <f t="shared" ca="1" si="0"/>
        <v>62</v>
      </c>
      <c r="AL34">
        <f t="shared" ca="1" si="1"/>
        <v>2</v>
      </c>
      <c r="AM34" t="str">
        <f t="shared" si="2"/>
        <v>Volontaire</v>
      </c>
      <c r="AN34" s="2" t="str">
        <f t="shared" ca="1" si="3"/>
        <v>60 ans et plus</v>
      </c>
      <c r="AO34" s="2" t="str">
        <f t="shared" si="4"/>
        <v>Fully Meets</v>
      </c>
      <c r="AP34" s="2" t="str">
        <f t="shared" si="5"/>
        <v>SURVEILLER</v>
      </c>
    </row>
    <row r="35" spans="1:42">
      <c r="A35" s="2" t="s">
        <v>641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s="2" t="s">
        <v>42</v>
      </c>
      <c r="N35" s="2" t="s">
        <v>16</v>
      </c>
      <c r="O35">
        <v>2148</v>
      </c>
      <c r="P35" s="1">
        <v>29254</v>
      </c>
      <c r="Q35" s="2" t="s">
        <v>44</v>
      </c>
      <c r="R35" s="2" t="s">
        <v>18</v>
      </c>
      <c r="S35" s="2" t="s">
        <v>19</v>
      </c>
      <c r="T35" s="2" t="s">
        <v>20</v>
      </c>
      <c r="U35" s="2" t="s">
        <v>71</v>
      </c>
      <c r="V35" s="1">
        <v>41032</v>
      </c>
      <c r="W35" s="1"/>
      <c r="X35" s="2" t="s">
        <v>22</v>
      </c>
      <c r="Y35" s="2" t="s">
        <v>23</v>
      </c>
      <c r="Z35" s="2" t="s">
        <v>24</v>
      </c>
      <c r="AA35" s="2" t="s">
        <v>59</v>
      </c>
      <c r="AB35">
        <v>11</v>
      </c>
      <c r="AC35" s="2" t="s">
        <v>69</v>
      </c>
      <c r="AD35" s="2" t="s">
        <v>39</v>
      </c>
      <c r="AE35" s="2" t="s">
        <v>157</v>
      </c>
      <c r="AF35">
        <v>4</v>
      </c>
      <c r="AG35">
        <v>0</v>
      </c>
      <c r="AH35" t="s">
        <v>158</v>
      </c>
      <c r="AI35">
        <v>0</v>
      </c>
      <c r="AJ35">
        <v>3</v>
      </c>
      <c r="AK35">
        <f t="shared" ca="1" si="0"/>
        <v>46</v>
      </c>
      <c r="AL35">
        <f t="shared" ca="1" si="1"/>
        <v>13</v>
      </c>
      <c r="AM35" t="str">
        <f t="shared" si="2"/>
        <v>Actif</v>
      </c>
      <c r="AN35" s="2" t="str">
        <f t="shared" ca="1" si="3"/>
        <v>45-59 ans</v>
      </c>
      <c r="AO35" s="2" t="str">
        <f t="shared" si="4"/>
        <v>Fully Meets</v>
      </c>
      <c r="AP35" s="2" t="str">
        <f t="shared" si="5"/>
        <v>FAIBLE</v>
      </c>
    </row>
    <row r="36" spans="1:42">
      <c r="A36" s="2" t="s">
        <v>642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s="2" t="s">
        <v>42</v>
      </c>
      <c r="N36" s="2" t="s">
        <v>16</v>
      </c>
      <c r="O36">
        <v>1890</v>
      </c>
      <c r="P36" s="1">
        <v>28356</v>
      </c>
      <c r="Q36" s="2" t="s">
        <v>17</v>
      </c>
      <c r="R36" s="2" t="s">
        <v>31</v>
      </c>
      <c r="S36" s="2" t="s">
        <v>19</v>
      </c>
      <c r="T36" s="2" t="s">
        <v>20</v>
      </c>
      <c r="U36" s="2" t="s">
        <v>21</v>
      </c>
      <c r="V36" s="1">
        <v>40637</v>
      </c>
      <c r="W36" s="1"/>
      <c r="X36" s="2" t="s">
        <v>22</v>
      </c>
      <c r="Y36" s="2" t="s">
        <v>23</v>
      </c>
      <c r="Z36" s="2" t="s">
        <v>24</v>
      </c>
      <c r="AA36" s="2" t="s">
        <v>68</v>
      </c>
      <c r="AB36">
        <v>19</v>
      </c>
      <c r="AC36" s="2" t="s">
        <v>38</v>
      </c>
      <c r="AD36" s="2" t="s">
        <v>39</v>
      </c>
      <c r="AE36" s="2" t="s">
        <v>160</v>
      </c>
      <c r="AF36">
        <v>5</v>
      </c>
      <c r="AG36">
        <v>0</v>
      </c>
      <c r="AH36" t="s">
        <v>104</v>
      </c>
      <c r="AI36">
        <v>0</v>
      </c>
      <c r="AJ36">
        <v>15</v>
      </c>
      <c r="AK36">
        <f t="shared" ca="1" si="0"/>
        <v>48</v>
      </c>
      <c r="AL36">
        <f t="shared" ca="1" si="1"/>
        <v>15</v>
      </c>
      <c r="AM36" t="str">
        <f t="shared" si="2"/>
        <v>Actif</v>
      </c>
      <c r="AN36" s="2" t="str">
        <f t="shared" ca="1" si="3"/>
        <v>45-59 ans</v>
      </c>
      <c r="AO36" s="2" t="str">
        <f t="shared" si="4"/>
        <v>Fully Meets</v>
      </c>
      <c r="AP36" s="2" t="str">
        <f t="shared" si="5"/>
        <v>SURVEILLER</v>
      </c>
    </row>
    <row r="37" spans="1:42">
      <c r="A37" s="2" t="s">
        <v>643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s="2" t="s">
        <v>161</v>
      </c>
      <c r="N37" s="2" t="s">
        <v>16</v>
      </c>
      <c r="O37">
        <v>2184</v>
      </c>
      <c r="P37" s="1">
        <v>24433</v>
      </c>
      <c r="Q37" s="2" t="s">
        <v>17</v>
      </c>
      <c r="R37" s="2" t="s">
        <v>18</v>
      </c>
      <c r="S37" s="2" t="s">
        <v>19</v>
      </c>
      <c r="T37" s="2" t="s">
        <v>20</v>
      </c>
      <c r="U37" s="2" t="s">
        <v>21</v>
      </c>
      <c r="V37" s="1">
        <v>40770</v>
      </c>
      <c r="W37" s="1"/>
      <c r="X37" s="2" t="s">
        <v>22</v>
      </c>
      <c r="Y37" s="2" t="s">
        <v>23</v>
      </c>
      <c r="Z37" s="2" t="s">
        <v>62</v>
      </c>
      <c r="AA37" s="2" t="s">
        <v>163</v>
      </c>
      <c r="AB37">
        <v>5</v>
      </c>
      <c r="AC37" s="2" t="s">
        <v>56</v>
      </c>
      <c r="AD37" s="2" t="s">
        <v>39</v>
      </c>
      <c r="AE37" s="2" t="s">
        <v>164</v>
      </c>
      <c r="AF37">
        <v>3</v>
      </c>
      <c r="AG37">
        <v>5</v>
      </c>
      <c r="AH37" t="s">
        <v>150</v>
      </c>
      <c r="AI37">
        <v>0</v>
      </c>
      <c r="AJ37">
        <v>4</v>
      </c>
      <c r="AK37">
        <f t="shared" ca="1" si="0"/>
        <v>59</v>
      </c>
      <c r="AL37">
        <f t="shared" ca="1" si="1"/>
        <v>14</v>
      </c>
      <c r="AM37" t="str">
        <f t="shared" si="2"/>
        <v>Actif</v>
      </c>
      <c r="AN37" s="2" t="str">
        <f t="shared" ca="1" si="3"/>
        <v>45-59 ans</v>
      </c>
      <c r="AO37" s="2" t="str">
        <f t="shared" si="4"/>
        <v>Fully Meets</v>
      </c>
      <c r="AP37" s="2" t="str">
        <f t="shared" si="5"/>
        <v>FAIBLE</v>
      </c>
    </row>
    <row r="38" spans="1:42">
      <c r="A38" s="2" t="s">
        <v>644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s="2" t="s">
        <v>133</v>
      </c>
      <c r="N38" s="2" t="s">
        <v>16</v>
      </c>
      <c r="O38">
        <v>2169</v>
      </c>
      <c r="P38" s="1">
        <v>30567</v>
      </c>
      <c r="Q38" s="2" t="s">
        <v>17</v>
      </c>
      <c r="R38" s="2" t="s">
        <v>18</v>
      </c>
      <c r="S38" s="2" t="s">
        <v>19</v>
      </c>
      <c r="T38" s="2" t="s">
        <v>20</v>
      </c>
      <c r="U38" s="2" t="s">
        <v>21</v>
      </c>
      <c r="V38" s="1">
        <v>42397</v>
      </c>
      <c r="W38" s="1"/>
      <c r="X38" s="2" t="s">
        <v>22</v>
      </c>
      <c r="Y38" s="2" t="s">
        <v>23</v>
      </c>
      <c r="Z38" s="2" t="s">
        <v>24</v>
      </c>
      <c r="AA38" s="2" t="s">
        <v>135</v>
      </c>
      <c r="AB38">
        <v>2</v>
      </c>
      <c r="AC38" s="2" t="s">
        <v>38</v>
      </c>
      <c r="AD38" s="2" t="s">
        <v>27</v>
      </c>
      <c r="AE38" s="2" t="s">
        <v>57</v>
      </c>
      <c r="AF38">
        <v>3</v>
      </c>
      <c r="AG38">
        <v>0</v>
      </c>
      <c r="AH38" t="s">
        <v>166</v>
      </c>
      <c r="AI38">
        <v>0</v>
      </c>
      <c r="AJ38">
        <v>14</v>
      </c>
      <c r="AK38">
        <f t="shared" ca="1" si="0"/>
        <v>42</v>
      </c>
      <c r="AL38">
        <f t="shared" ca="1" si="1"/>
        <v>10</v>
      </c>
      <c r="AM38" t="str">
        <f t="shared" si="2"/>
        <v>Actif</v>
      </c>
      <c r="AN38" s="2" t="str">
        <f t="shared" ca="1" si="3"/>
        <v>30-44 ans</v>
      </c>
      <c r="AO38" s="2" t="str">
        <f t="shared" si="4"/>
        <v>Exceeds</v>
      </c>
      <c r="AP38" s="2" t="str">
        <f t="shared" si="5"/>
        <v>SURVEILLER</v>
      </c>
    </row>
    <row r="39" spans="1:42">
      <c r="A39" s="2" t="s">
        <v>645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s="2" t="s">
        <v>60</v>
      </c>
      <c r="N39" s="2" t="s">
        <v>16</v>
      </c>
      <c r="O39">
        <v>2132</v>
      </c>
      <c r="P39" s="1">
        <v>31901</v>
      </c>
      <c r="Q39" s="2" t="s">
        <v>44</v>
      </c>
      <c r="R39" s="2" t="s">
        <v>18</v>
      </c>
      <c r="S39" s="2" t="s">
        <v>19</v>
      </c>
      <c r="T39" s="2" t="s">
        <v>20</v>
      </c>
      <c r="U39" s="2" t="s">
        <v>21</v>
      </c>
      <c r="V39" s="1">
        <v>41589</v>
      </c>
      <c r="W39" s="1"/>
      <c r="X39" s="2" t="s">
        <v>22</v>
      </c>
      <c r="Y39" s="2" t="s">
        <v>23</v>
      </c>
      <c r="Z39" s="2" t="s">
        <v>62</v>
      </c>
      <c r="AA39" s="2" t="s">
        <v>63</v>
      </c>
      <c r="AB39">
        <v>10</v>
      </c>
      <c r="AC39" s="2" t="s">
        <v>38</v>
      </c>
      <c r="AD39" s="2" t="s">
        <v>39</v>
      </c>
      <c r="AE39" s="2" t="s">
        <v>40</v>
      </c>
      <c r="AF39">
        <v>4</v>
      </c>
      <c r="AG39">
        <v>6</v>
      </c>
      <c r="AH39" t="s">
        <v>167</v>
      </c>
      <c r="AI39">
        <v>0</v>
      </c>
      <c r="AJ39">
        <v>3</v>
      </c>
      <c r="AK39">
        <f t="shared" ca="1" si="0"/>
        <v>38</v>
      </c>
      <c r="AL39">
        <f t="shared" ca="1" si="1"/>
        <v>12</v>
      </c>
      <c r="AM39" t="str">
        <f t="shared" si="2"/>
        <v>Actif</v>
      </c>
      <c r="AN39" s="2" t="str">
        <f t="shared" ca="1" si="3"/>
        <v>30-44 ans</v>
      </c>
      <c r="AO39" s="2" t="str">
        <f t="shared" si="4"/>
        <v>Fully Meets</v>
      </c>
      <c r="AP39" s="2" t="str">
        <f t="shared" si="5"/>
        <v>FAIBLE</v>
      </c>
    </row>
    <row r="40" spans="1:42">
      <c r="A40" s="2" t="s">
        <v>646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s="2" t="s">
        <v>15</v>
      </c>
      <c r="N40" s="2" t="s">
        <v>16</v>
      </c>
      <c r="O40">
        <v>1701</v>
      </c>
      <c r="P40" s="1">
        <v>30349</v>
      </c>
      <c r="Q40" s="2" t="s">
        <v>17</v>
      </c>
      <c r="R40" s="2" t="s">
        <v>18</v>
      </c>
      <c r="S40" s="2" t="s">
        <v>19</v>
      </c>
      <c r="T40" s="2" t="s">
        <v>20</v>
      </c>
      <c r="U40" s="2" t="s">
        <v>71</v>
      </c>
      <c r="V40" s="1">
        <v>41729</v>
      </c>
      <c r="W40" s="1"/>
      <c r="X40" s="2" t="s">
        <v>22</v>
      </c>
      <c r="Y40" s="2" t="s">
        <v>23</v>
      </c>
      <c r="Z40" s="2" t="s">
        <v>24</v>
      </c>
      <c r="AA40" s="2" t="s">
        <v>93</v>
      </c>
      <c r="AB40">
        <v>18</v>
      </c>
      <c r="AC40" s="2" t="s">
        <v>26</v>
      </c>
      <c r="AD40" s="2" t="s">
        <v>39</v>
      </c>
      <c r="AE40" s="2" t="s">
        <v>169</v>
      </c>
      <c r="AF40">
        <v>3</v>
      </c>
      <c r="AG40">
        <v>0</v>
      </c>
      <c r="AH40">
        <v>43467</v>
      </c>
      <c r="AI40">
        <v>0</v>
      </c>
      <c r="AJ40">
        <v>14</v>
      </c>
      <c r="AK40">
        <f t="shared" ca="1" si="0"/>
        <v>43</v>
      </c>
      <c r="AL40">
        <f t="shared" ca="1" si="1"/>
        <v>12</v>
      </c>
      <c r="AM40" t="str">
        <f t="shared" si="2"/>
        <v>Actif</v>
      </c>
      <c r="AN40" s="2" t="str">
        <f t="shared" ca="1" si="3"/>
        <v>30-44 ans</v>
      </c>
      <c r="AO40" s="2" t="str">
        <f t="shared" si="4"/>
        <v>Fully Meets</v>
      </c>
      <c r="AP40" s="2" t="str">
        <f t="shared" si="5"/>
        <v>SURVEILLER</v>
      </c>
    </row>
    <row r="41" spans="1:42">
      <c r="A41" s="2" t="s">
        <v>647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s="2" t="s">
        <v>30</v>
      </c>
      <c r="N41" s="2" t="s">
        <v>16</v>
      </c>
      <c r="O41">
        <v>1886</v>
      </c>
      <c r="P41" s="1">
        <v>31569</v>
      </c>
      <c r="Q41" s="2" t="s">
        <v>44</v>
      </c>
      <c r="R41" s="2" t="s">
        <v>18</v>
      </c>
      <c r="S41" s="2" t="s">
        <v>19</v>
      </c>
      <c r="T41" s="2" t="s">
        <v>20</v>
      </c>
      <c r="U41" s="2" t="s">
        <v>71</v>
      </c>
      <c r="V41" s="1">
        <v>42551</v>
      </c>
      <c r="W41" s="1"/>
      <c r="X41" s="2" t="s">
        <v>22</v>
      </c>
      <c r="Y41" s="2" t="s">
        <v>23</v>
      </c>
      <c r="Z41" s="2" t="s">
        <v>36</v>
      </c>
      <c r="AA41" s="2" t="s">
        <v>37</v>
      </c>
      <c r="AB41">
        <v>4</v>
      </c>
      <c r="AC41" s="2" t="s">
        <v>26</v>
      </c>
      <c r="AD41" s="2" t="s">
        <v>39</v>
      </c>
      <c r="AE41" s="2" t="s">
        <v>57</v>
      </c>
      <c r="AF41">
        <v>5</v>
      </c>
      <c r="AG41">
        <v>6</v>
      </c>
      <c r="AH41" t="s">
        <v>78</v>
      </c>
      <c r="AI41">
        <v>0</v>
      </c>
      <c r="AJ41">
        <v>7</v>
      </c>
      <c r="AK41">
        <f t="shared" ca="1" si="0"/>
        <v>39</v>
      </c>
      <c r="AL41">
        <f t="shared" ca="1" si="1"/>
        <v>9</v>
      </c>
      <c r="AM41" t="str">
        <f t="shared" si="2"/>
        <v>Actif</v>
      </c>
      <c r="AN41" s="2" t="str">
        <f t="shared" ca="1" si="3"/>
        <v>30-44 ans</v>
      </c>
      <c r="AO41" s="2" t="str">
        <f t="shared" si="4"/>
        <v>Fully Meets</v>
      </c>
      <c r="AP41" s="2" t="str">
        <f t="shared" si="5"/>
        <v>FAIBLE</v>
      </c>
    </row>
    <row r="42" spans="1:42">
      <c r="A42" s="2" t="s">
        <v>648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s="2" t="s">
        <v>151</v>
      </c>
      <c r="N42" s="2" t="s">
        <v>171</v>
      </c>
      <c r="O42">
        <v>5664</v>
      </c>
      <c r="P42" s="1">
        <v>23146</v>
      </c>
      <c r="Q42" s="2" t="s">
        <v>44</v>
      </c>
      <c r="R42" s="2" t="s">
        <v>18</v>
      </c>
      <c r="S42" s="2" t="s">
        <v>19</v>
      </c>
      <c r="T42" s="2" t="s">
        <v>20</v>
      </c>
      <c r="U42" s="2" t="s">
        <v>21</v>
      </c>
      <c r="V42" s="1">
        <v>41869</v>
      </c>
      <c r="W42" s="1"/>
      <c r="X42" s="2" t="s">
        <v>22</v>
      </c>
      <c r="Y42" s="2" t="s">
        <v>23</v>
      </c>
      <c r="Z42" s="2" t="s">
        <v>154</v>
      </c>
      <c r="AA42" s="2" t="s">
        <v>155</v>
      </c>
      <c r="AB42">
        <v>17</v>
      </c>
      <c r="AC42" s="2" t="s">
        <v>38</v>
      </c>
      <c r="AD42" s="2" t="s">
        <v>39</v>
      </c>
      <c r="AE42" s="2" t="s">
        <v>57</v>
      </c>
      <c r="AF42">
        <v>5</v>
      </c>
      <c r="AG42">
        <v>0</v>
      </c>
      <c r="AH42" t="s">
        <v>150</v>
      </c>
      <c r="AI42">
        <v>0</v>
      </c>
      <c r="AJ42">
        <v>7</v>
      </c>
      <c r="AK42">
        <f t="shared" ca="1" si="0"/>
        <v>62</v>
      </c>
      <c r="AL42">
        <f t="shared" ca="1" si="1"/>
        <v>11</v>
      </c>
      <c r="AM42" t="str">
        <f t="shared" si="2"/>
        <v>Actif</v>
      </c>
      <c r="AN42" s="2" t="str">
        <f t="shared" ca="1" si="3"/>
        <v>60 ans et plus</v>
      </c>
      <c r="AO42" s="2" t="str">
        <f t="shared" si="4"/>
        <v>Fully Meets</v>
      </c>
      <c r="AP42" s="2" t="str">
        <f t="shared" si="5"/>
        <v>FAIBLE</v>
      </c>
    </row>
    <row r="43" spans="1:42">
      <c r="A43" s="2" t="s">
        <v>649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s="2" t="s">
        <v>15</v>
      </c>
      <c r="N43" s="2" t="s">
        <v>16</v>
      </c>
      <c r="O43">
        <v>2763</v>
      </c>
      <c r="P43" s="1">
        <v>18660</v>
      </c>
      <c r="Q43" s="2" t="s">
        <v>44</v>
      </c>
      <c r="R43" s="2" t="s">
        <v>18</v>
      </c>
      <c r="S43" s="2" t="s">
        <v>19</v>
      </c>
      <c r="T43" s="2" t="s">
        <v>20</v>
      </c>
      <c r="U43" s="2" t="s">
        <v>21</v>
      </c>
      <c r="V43" s="1">
        <v>41911</v>
      </c>
      <c r="W43" s="1"/>
      <c r="X43" s="2" t="s">
        <v>22</v>
      </c>
      <c r="Y43" s="2" t="s">
        <v>23</v>
      </c>
      <c r="Z43" s="2" t="s">
        <v>24</v>
      </c>
      <c r="AA43" s="2" t="s">
        <v>25</v>
      </c>
      <c r="AB43">
        <v>22</v>
      </c>
      <c r="AC43" s="2" t="s">
        <v>56</v>
      </c>
      <c r="AD43" s="2" t="s">
        <v>39</v>
      </c>
      <c r="AE43" s="2" t="s">
        <v>57</v>
      </c>
      <c r="AF43">
        <v>4</v>
      </c>
      <c r="AG43">
        <v>0</v>
      </c>
      <c r="AH43">
        <v>43801</v>
      </c>
      <c r="AI43">
        <v>0</v>
      </c>
      <c r="AJ43">
        <v>11</v>
      </c>
      <c r="AK43">
        <f t="shared" ca="1" si="0"/>
        <v>75</v>
      </c>
      <c r="AL43">
        <f t="shared" ca="1" si="1"/>
        <v>11</v>
      </c>
      <c r="AM43" t="str">
        <f t="shared" si="2"/>
        <v>Actif</v>
      </c>
      <c r="AN43" s="2" t="str">
        <f t="shared" ca="1" si="3"/>
        <v>60 ans et plus</v>
      </c>
      <c r="AO43" s="2" t="str">
        <f t="shared" si="4"/>
        <v>Fully Meets</v>
      </c>
      <c r="AP43" s="2" t="str">
        <f t="shared" si="5"/>
        <v>SURVEILLER</v>
      </c>
    </row>
    <row r="44" spans="1:42">
      <c r="A44" s="2" t="s">
        <v>650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s="2" t="s">
        <v>174</v>
      </c>
      <c r="N44" s="2" t="s">
        <v>16</v>
      </c>
      <c r="O44">
        <v>2045</v>
      </c>
      <c r="P44" s="1">
        <v>26544</v>
      </c>
      <c r="Q44" s="2" t="s">
        <v>17</v>
      </c>
      <c r="R44" s="2" t="s">
        <v>31</v>
      </c>
      <c r="S44" s="2" t="s">
        <v>19</v>
      </c>
      <c r="T44" s="2" t="s">
        <v>20</v>
      </c>
      <c r="U44" s="2" t="s">
        <v>21</v>
      </c>
      <c r="V44" s="1">
        <v>42530</v>
      </c>
      <c r="W44" s="1"/>
      <c r="X44" s="2" t="s">
        <v>22</v>
      </c>
      <c r="Y44" s="2" t="s">
        <v>23</v>
      </c>
      <c r="Z44" s="2" t="s">
        <v>36</v>
      </c>
      <c r="AA44" s="2" t="s">
        <v>163</v>
      </c>
      <c r="AB44">
        <v>5</v>
      </c>
      <c r="AC44" s="2" t="s">
        <v>38</v>
      </c>
      <c r="AD44" s="2" t="s">
        <v>39</v>
      </c>
      <c r="AE44" s="2" t="s">
        <v>109</v>
      </c>
      <c r="AF44">
        <v>5</v>
      </c>
      <c r="AG44">
        <v>7</v>
      </c>
      <c r="AH44" t="s">
        <v>144</v>
      </c>
      <c r="AI44">
        <v>0</v>
      </c>
      <c r="AJ44">
        <v>8</v>
      </c>
      <c r="AK44">
        <f t="shared" ca="1" si="0"/>
        <v>53</v>
      </c>
      <c r="AL44">
        <f t="shared" ca="1" si="1"/>
        <v>9</v>
      </c>
      <c r="AM44" t="str">
        <f t="shared" si="2"/>
        <v>Actif</v>
      </c>
      <c r="AN44" s="2" t="str">
        <f t="shared" ca="1" si="3"/>
        <v>45-59 ans</v>
      </c>
      <c r="AO44" s="2" t="str">
        <f t="shared" si="4"/>
        <v>Fully Meets</v>
      </c>
      <c r="AP44" s="2" t="str">
        <f t="shared" si="5"/>
        <v>FAIBLE</v>
      </c>
    </row>
    <row r="45" spans="1:42">
      <c r="A45" s="2" t="s">
        <v>651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s="2" t="s">
        <v>15</v>
      </c>
      <c r="N45" s="2" t="s">
        <v>16</v>
      </c>
      <c r="O45">
        <v>2170</v>
      </c>
      <c r="P45" s="1">
        <v>29191</v>
      </c>
      <c r="Q45" s="2" t="s">
        <v>44</v>
      </c>
      <c r="R45" s="2" t="s">
        <v>18</v>
      </c>
      <c r="S45" s="2" t="s">
        <v>19</v>
      </c>
      <c r="T45" s="2" t="s">
        <v>20</v>
      </c>
      <c r="U45" s="2" t="s">
        <v>21</v>
      </c>
      <c r="V45" s="1">
        <v>41978</v>
      </c>
      <c r="W45" s="1"/>
      <c r="X45" s="2" t="s">
        <v>22</v>
      </c>
      <c r="Y45" s="2" t="s">
        <v>23</v>
      </c>
      <c r="Z45" s="2" t="s">
        <v>24</v>
      </c>
      <c r="AA45" s="2" t="s">
        <v>51</v>
      </c>
      <c r="AB45">
        <v>16</v>
      </c>
      <c r="AC45" s="2" t="s">
        <v>38</v>
      </c>
      <c r="AD45" s="2" t="s">
        <v>39</v>
      </c>
      <c r="AE45" s="2" t="s">
        <v>175</v>
      </c>
      <c r="AF45">
        <v>4</v>
      </c>
      <c r="AG45">
        <v>0</v>
      </c>
      <c r="AH45" t="s">
        <v>176</v>
      </c>
      <c r="AI45">
        <v>0</v>
      </c>
      <c r="AJ45">
        <v>11</v>
      </c>
      <c r="AK45">
        <f t="shared" ca="1" si="0"/>
        <v>46</v>
      </c>
      <c r="AL45">
        <f t="shared" ca="1" si="1"/>
        <v>11</v>
      </c>
      <c r="AM45" t="str">
        <f t="shared" si="2"/>
        <v>Actif</v>
      </c>
      <c r="AN45" s="2" t="str">
        <f t="shared" ca="1" si="3"/>
        <v>45-59 ans</v>
      </c>
      <c r="AO45" s="2" t="str">
        <f t="shared" si="4"/>
        <v>Fully Meets</v>
      </c>
      <c r="AP45" s="2" t="str">
        <f t="shared" si="5"/>
        <v>SURVEILLER</v>
      </c>
    </row>
    <row r="46" spans="1:42">
      <c r="A46" s="2" t="s">
        <v>652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s="2" t="s">
        <v>15</v>
      </c>
      <c r="N46" s="2" t="s">
        <v>16</v>
      </c>
      <c r="O46">
        <v>1845</v>
      </c>
      <c r="P46" s="1">
        <v>30552</v>
      </c>
      <c r="Q46" s="2" t="s">
        <v>17</v>
      </c>
      <c r="R46" s="2" t="s">
        <v>18</v>
      </c>
      <c r="S46" s="2" t="s">
        <v>19</v>
      </c>
      <c r="T46" s="2" t="s">
        <v>20</v>
      </c>
      <c r="U46" s="2" t="s">
        <v>21</v>
      </c>
      <c r="V46" s="1">
        <v>41493</v>
      </c>
      <c r="W46" s="1"/>
      <c r="X46" s="2" t="s">
        <v>22</v>
      </c>
      <c r="Y46" s="2" t="s">
        <v>23</v>
      </c>
      <c r="Z46" s="2" t="s">
        <v>24</v>
      </c>
      <c r="AA46" s="2" t="s">
        <v>55</v>
      </c>
      <c r="AC46" s="2" t="s">
        <v>26</v>
      </c>
      <c r="AD46" s="2" t="s">
        <v>39</v>
      </c>
      <c r="AE46" s="2" t="s">
        <v>178</v>
      </c>
      <c r="AF46">
        <v>5</v>
      </c>
      <c r="AG46">
        <v>0</v>
      </c>
      <c r="AH46" t="s">
        <v>104</v>
      </c>
      <c r="AI46">
        <v>0</v>
      </c>
      <c r="AJ46">
        <v>4</v>
      </c>
      <c r="AK46">
        <f t="shared" ca="1" si="0"/>
        <v>42</v>
      </c>
      <c r="AL46">
        <f t="shared" ca="1" si="1"/>
        <v>12</v>
      </c>
      <c r="AM46" t="str">
        <f t="shared" si="2"/>
        <v>Actif</v>
      </c>
      <c r="AN46" s="2" t="str">
        <f t="shared" ca="1" si="3"/>
        <v>30-44 ans</v>
      </c>
      <c r="AO46" s="2" t="str">
        <f t="shared" si="4"/>
        <v>Fully Meets</v>
      </c>
      <c r="AP46" s="2" t="str">
        <f t="shared" si="5"/>
        <v>FAIBLE</v>
      </c>
    </row>
    <row r="47" spans="1:42">
      <c r="A47" s="2" t="s">
        <v>653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s="2" t="s">
        <v>151</v>
      </c>
      <c r="N47" s="2" t="s">
        <v>88</v>
      </c>
      <c r="O47">
        <v>78207</v>
      </c>
      <c r="P47" s="1">
        <v>25878</v>
      </c>
      <c r="Q47" s="2" t="s">
        <v>17</v>
      </c>
      <c r="R47" s="2" t="s">
        <v>18</v>
      </c>
      <c r="S47" s="2" t="s">
        <v>106</v>
      </c>
      <c r="T47" s="2" t="s">
        <v>20</v>
      </c>
      <c r="U47" s="2" t="s">
        <v>71</v>
      </c>
      <c r="V47" s="1">
        <v>41043</v>
      </c>
      <c r="W47" s="1"/>
      <c r="X47" s="2" t="s">
        <v>22</v>
      </c>
      <c r="Y47" s="2" t="s">
        <v>23</v>
      </c>
      <c r="Z47" s="2" t="s">
        <v>154</v>
      </c>
      <c r="AA47" s="2" t="s">
        <v>180</v>
      </c>
      <c r="AB47">
        <v>21</v>
      </c>
      <c r="AC47" s="2" t="s">
        <v>69</v>
      </c>
      <c r="AD47" s="2" t="s">
        <v>39</v>
      </c>
      <c r="AE47" s="2" t="s">
        <v>181</v>
      </c>
      <c r="AF47">
        <v>5</v>
      </c>
      <c r="AG47">
        <v>0</v>
      </c>
      <c r="AH47" t="s">
        <v>182</v>
      </c>
      <c r="AI47">
        <v>0</v>
      </c>
      <c r="AJ47">
        <v>17</v>
      </c>
      <c r="AK47">
        <f t="shared" ca="1" si="0"/>
        <v>55</v>
      </c>
      <c r="AL47">
        <f t="shared" ca="1" si="1"/>
        <v>13</v>
      </c>
      <c r="AM47" t="str">
        <f t="shared" si="2"/>
        <v>Actif</v>
      </c>
      <c r="AN47" s="2" t="str">
        <f t="shared" ca="1" si="3"/>
        <v>45-59 ans</v>
      </c>
      <c r="AO47" s="2" t="str">
        <f t="shared" si="4"/>
        <v>Fully Meets</v>
      </c>
      <c r="AP47" s="2" t="str">
        <f t="shared" si="5"/>
        <v>SURVEILLER</v>
      </c>
    </row>
    <row r="48" spans="1:42">
      <c r="A48" s="2" t="s">
        <v>654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s="2" t="s">
        <v>15</v>
      </c>
      <c r="N48" s="2" t="s">
        <v>16</v>
      </c>
      <c r="O48">
        <v>1775</v>
      </c>
      <c r="P48" s="1">
        <v>30555</v>
      </c>
      <c r="Q48" s="2" t="s">
        <v>44</v>
      </c>
      <c r="R48" s="2" t="s">
        <v>18</v>
      </c>
      <c r="S48" s="2" t="s">
        <v>19</v>
      </c>
      <c r="T48" s="2" t="s">
        <v>20</v>
      </c>
      <c r="U48" s="2" t="s">
        <v>21</v>
      </c>
      <c r="V48" s="1">
        <v>40721</v>
      </c>
      <c r="W48" s="1">
        <v>42323</v>
      </c>
      <c r="X48" s="2" t="s">
        <v>186</v>
      </c>
      <c r="Y48" s="2" t="s">
        <v>35</v>
      </c>
      <c r="Z48" s="2" t="s">
        <v>24</v>
      </c>
      <c r="AA48" s="2" t="s">
        <v>59</v>
      </c>
      <c r="AB48">
        <v>11</v>
      </c>
      <c r="AC48" s="2" t="s">
        <v>38</v>
      </c>
      <c r="AD48" s="2" t="s">
        <v>39</v>
      </c>
      <c r="AE48" s="2" t="s">
        <v>187</v>
      </c>
      <c r="AF48">
        <v>4</v>
      </c>
      <c r="AG48">
        <v>0</v>
      </c>
      <c r="AH48">
        <v>42280</v>
      </c>
      <c r="AI48">
        <v>0</v>
      </c>
      <c r="AJ48">
        <v>3</v>
      </c>
      <c r="AK48">
        <f t="shared" ca="1" si="0"/>
        <v>42</v>
      </c>
      <c r="AL48">
        <f t="shared" ca="1" si="1"/>
        <v>4</v>
      </c>
      <c r="AM48" t="str">
        <f t="shared" si="2"/>
        <v>Volontaire</v>
      </c>
      <c r="AN48" s="2" t="str">
        <f t="shared" ca="1" si="3"/>
        <v>30-44 ans</v>
      </c>
      <c r="AO48" s="2" t="str">
        <f t="shared" si="4"/>
        <v>Fully Meets</v>
      </c>
      <c r="AP48" s="2" t="str">
        <f t="shared" si="5"/>
        <v>FAIBLE</v>
      </c>
    </row>
    <row r="49" spans="1:42">
      <c r="A49" s="2" t="s">
        <v>655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s="2" t="s">
        <v>15</v>
      </c>
      <c r="N49" s="2" t="s">
        <v>16</v>
      </c>
      <c r="O49">
        <v>2044</v>
      </c>
      <c r="P49" s="1">
        <v>32294</v>
      </c>
      <c r="Q49" s="2" t="s">
        <v>44</v>
      </c>
      <c r="R49" s="2" t="s">
        <v>18</v>
      </c>
      <c r="S49" s="2" t="s">
        <v>189</v>
      </c>
      <c r="T49" s="2" t="s">
        <v>20</v>
      </c>
      <c r="U49" s="2" t="s">
        <v>71</v>
      </c>
      <c r="V49" s="1">
        <v>40612</v>
      </c>
      <c r="W49" s="1"/>
      <c r="X49" s="2" t="s">
        <v>22</v>
      </c>
      <c r="Y49" s="2" t="s">
        <v>23</v>
      </c>
      <c r="Z49" s="2" t="s">
        <v>24</v>
      </c>
      <c r="AA49" s="2" t="s">
        <v>68</v>
      </c>
      <c r="AB49">
        <v>19</v>
      </c>
      <c r="AC49" s="2" t="s">
        <v>38</v>
      </c>
      <c r="AD49" s="2" t="s">
        <v>39</v>
      </c>
      <c r="AE49" s="2" t="s">
        <v>190</v>
      </c>
      <c r="AF49">
        <v>5</v>
      </c>
      <c r="AG49">
        <v>0</v>
      </c>
      <c r="AH49" t="s">
        <v>167</v>
      </c>
      <c r="AI49">
        <v>0</v>
      </c>
      <c r="AJ49">
        <v>3</v>
      </c>
      <c r="AK49">
        <f t="shared" ca="1" si="0"/>
        <v>37</v>
      </c>
      <c r="AL49">
        <f t="shared" ca="1" si="1"/>
        <v>15</v>
      </c>
      <c r="AM49" t="str">
        <f t="shared" si="2"/>
        <v>Actif</v>
      </c>
      <c r="AN49" s="2" t="str">
        <f t="shared" ca="1" si="3"/>
        <v>30-44 ans</v>
      </c>
      <c r="AO49" s="2" t="str">
        <f t="shared" si="4"/>
        <v>Fully Meets</v>
      </c>
      <c r="AP49" s="2" t="str">
        <f t="shared" si="5"/>
        <v>FAIBLE</v>
      </c>
    </row>
    <row r="50" spans="1:42">
      <c r="A50" s="2" t="s">
        <v>656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s="2" t="s">
        <v>76</v>
      </c>
      <c r="N50" s="2" t="s">
        <v>16</v>
      </c>
      <c r="O50">
        <v>2170</v>
      </c>
      <c r="P50" s="1">
        <v>31176</v>
      </c>
      <c r="Q50" s="2" t="s">
        <v>17</v>
      </c>
      <c r="R50" s="2" t="s">
        <v>18</v>
      </c>
      <c r="S50" s="2" t="s">
        <v>19</v>
      </c>
      <c r="T50" s="2" t="s">
        <v>20</v>
      </c>
      <c r="U50" s="2" t="s">
        <v>21</v>
      </c>
      <c r="V50" s="1">
        <v>41038</v>
      </c>
      <c r="W50" s="1"/>
      <c r="X50" s="2" t="s">
        <v>22</v>
      </c>
      <c r="Y50" s="2" t="s">
        <v>23</v>
      </c>
      <c r="Z50" s="2" t="s">
        <v>36</v>
      </c>
      <c r="AA50" s="2" t="s">
        <v>191</v>
      </c>
      <c r="AB50">
        <v>6</v>
      </c>
      <c r="AC50" s="2" t="s">
        <v>38</v>
      </c>
      <c r="AD50" s="2" t="s">
        <v>39</v>
      </c>
      <c r="AE50" s="2" t="s">
        <v>192</v>
      </c>
      <c r="AF50">
        <v>3</v>
      </c>
      <c r="AG50">
        <v>6</v>
      </c>
      <c r="AH50" t="s">
        <v>115</v>
      </c>
      <c r="AI50">
        <v>0</v>
      </c>
      <c r="AJ50">
        <v>2</v>
      </c>
      <c r="AK50">
        <f t="shared" ca="1" si="0"/>
        <v>40</v>
      </c>
      <c r="AL50">
        <f t="shared" ca="1" si="1"/>
        <v>13</v>
      </c>
      <c r="AM50" t="str">
        <f t="shared" si="2"/>
        <v>Actif</v>
      </c>
      <c r="AN50" s="2" t="str">
        <f t="shared" ca="1" si="3"/>
        <v>30-44 ans</v>
      </c>
      <c r="AO50" s="2" t="str">
        <f t="shared" si="4"/>
        <v>Fully Meets</v>
      </c>
      <c r="AP50" s="2" t="str">
        <f t="shared" si="5"/>
        <v>FAIBLE</v>
      </c>
    </row>
    <row r="51" spans="1:42">
      <c r="A51" s="2" t="s">
        <v>657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s="2" t="s">
        <v>42</v>
      </c>
      <c r="N51" s="2" t="s">
        <v>16</v>
      </c>
      <c r="O51">
        <v>1752</v>
      </c>
      <c r="P51" s="1">
        <v>29829</v>
      </c>
      <c r="Q51" s="2" t="s">
        <v>44</v>
      </c>
      <c r="R51" s="2" t="s">
        <v>31</v>
      </c>
      <c r="S51" s="2" t="s">
        <v>19</v>
      </c>
      <c r="T51" s="2" t="s">
        <v>20</v>
      </c>
      <c r="U51" s="2" t="s">
        <v>21</v>
      </c>
      <c r="V51" s="1">
        <v>40679</v>
      </c>
      <c r="W51" s="1">
        <v>41456</v>
      </c>
      <c r="X51" s="2" t="s">
        <v>86</v>
      </c>
      <c r="Y51" s="2" t="s">
        <v>35</v>
      </c>
      <c r="Z51" s="2" t="s">
        <v>24</v>
      </c>
      <c r="AA51" s="2" t="s">
        <v>72</v>
      </c>
      <c r="AB51">
        <v>12</v>
      </c>
      <c r="AC51" s="2" t="s">
        <v>56</v>
      </c>
      <c r="AD51" s="2" t="s">
        <v>39</v>
      </c>
      <c r="AE51" s="2" t="s">
        <v>82</v>
      </c>
      <c r="AF51">
        <v>5</v>
      </c>
      <c r="AG51">
        <v>0</v>
      </c>
      <c r="AH51">
        <v>40973</v>
      </c>
      <c r="AI51">
        <v>0</v>
      </c>
      <c r="AJ51">
        <v>9</v>
      </c>
      <c r="AK51">
        <f t="shared" ca="1" si="0"/>
        <v>44</v>
      </c>
      <c r="AL51">
        <f t="shared" ca="1" si="1"/>
        <v>2</v>
      </c>
      <c r="AM51" t="str">
        <f t="shared" si="2"/>
        <v>Volontaire</v>
      </c>
      <c r="AN51" s="2" t="str">
        <f t="shared" ca="1" si="3"/>
        <v>30-44 ans</v>
      </c>
      <c r="AO51" s="2" t="str">
        <f t="shared" si="4"/>
        <v>Fully Meets</v>
      </c>
      <c r="AP51" s="2" t="str">
        <f t="shared" si="5"/>
        <v>FAIBLE</v>
      </c>
    </row>
    <row r="52" spans="1:42">
      <c r="A52" s="2" t="s">
        <v>658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s="2" t="s">
        <v>42</v>
      </c>
      <c r="N52" s="2" t="s">
        <v>16</v>
      </c>
      <c r="O52">
        <v>2169</v>
      </c>
      <c r="P52" s="1">
        <v>28819</v>
      </c>
      <c r="Q52" s="2" t="s">
        <v>17</v>
      </c>
      <c r="R52" s="2" t="s">
        <v>31</v>
      </c>
      <c r="S52" s="2" t="s">
        <v>19</v>
      </c>
      <c r="T52" s="2" t="s">
        <v>20</v>
      </c>
      <c r="U52" s="2" t="s">
        <v>21</v>
      </c>
      <c r="V52" s="1">
        <v>40420</v>
      </c>
      <c r="W52" s="1">
        <v>40812</v>
      </c>
      <c r="X52" s="2" t="s">
        <v>34</v>
      </c>
      <c r="Y52" s="2" t="s">
        <v>35</v>
      </c>
      <c r="Z52" s="2" t="s">
        <v>24</v>
      </c>
      <c r="AA52" s="2" t="s">
        <v>81</v>
      </c>
      <c r="AB52">
        <v>14</v>
      </c>
      <c r="AC52" s="2" t="s">
        <v>38</v>
      </c>
      <c r="AD52" s="2" t="s">
        <v>39</v>
      </c>
      <c r="AE52" s="2" t="s">
        <v>82</v>
      </c>
      <c r="AF52">
        <v>4</v>
      </c>
      <c r="AG52">
        <v>0</v>
      </c>
      <c r="AH52">
        <v>40638</v>
      </c>
      <c r="AI52">
        <v>0</v>
      </c>
      <c r="AJ52">
        <v>6</v>
      </c>
      <c r="AK52">
        <f t="shared" ca="1" si="0"/>
        <v>47</v>
      </c>
      <c r="AL52">
        <f t="shared" ca="1" si="1"/>
        <v>1</v>
      </c>
      <c r="AM52" t="str">
        <f t="shared" si="2"/>
        <v>Volontaire</v>
      </c>
      <c r="AN52" s="2" t="str">
        <f t="shared" ca="1" si="3"/>
        <v>45-59 ans</v>
      </c>
      <c r="AO52" s="2" t="str">
        <f t="shared" si="4"/>
        <v>Fully Meets</v>
      </c>
      <c r="AP52" s="2" t="str">
        <f t="shared" si="5"/>
        <v>FAIBLE</v>
      </c>
    </row>
    <row r="53" spans="1:42">
      <c r="A53" s="2" t="s">
        <v>659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s="2" t="s">
        <v>15</v>
      </c>
      <c r="N53" s="2" t="s">
        <v>16</v>
      </c>
      <c r="O53">
        <v>2134</v>
      </c>
      <c r="P53" s="1">
        <v>29459</v>
      </c>
      <c r="Q53" s="2" t="s">
        <v>17</v>
      </c>
      <c r="R53" s="2" t="s">
        <v>31</v>
      </c>
      <c r="S53" s="2" t="s">
        <v>19</v>
      </c>
      <c r="T53" s="2" t="s">
        <v>20</v>
      </c>
      <c r="U53" s="2" t="s">
        <v>21</v>
      </c>
      <c r="V53" s="1">
        <v>42528</v>
      </c>
      <c r="W53" s="1"/>
      <c r="X53" s="2" t="s">
        <v>22</v>
      </c>
      <c r="Y53" s="2" t="s">
        <v>23</v>
      </c>
      <c r="Z53" s="2" t="s">
        <v>24</v>
      </c>
      <c r="AA53" s="2" t="s">
        <v>72</v>
      </c>
      <c r="AB53">
        <v>12</v>
      </c>
      <c r="AC53" s="2" t="s">
        <v>69</v>
      </c>
      <c r="AD53" s="2" t="s">
        <v>27</v>
      </c>
      <c r="AE53" s="2" t="s">
        <v>199</v>
      </c>
      <c r="AF53">
        <v>4</v>
      </c>
      <c r="AG53">
        <v>0</v>
      </c>
      <c r="AH53" t="s">
        <v>200</v>
      </c>
      <c r="AI53">
        <v>0</v>
      </c>
      <c r="AJ53">
        <v>5</v>
      </c>
      <c r="AK53">
        <f t="shared" ca="1" si="0"/>
        <v>45</v>
      </c>
      <c r="AL53">
        <f t="shared" ca="1" si="1"/>
        <v>9</v>
      </c>
      <c r="AM53" t="str">
        <f t="shared" si="2"/>
        <v>Actif</v>
      </c>
      <c r="AN53" s="2" t="str">
        <f t="shared" ca="1" si="3"/>
        <v>45-59 ans</v>
      </c>
      <c r="AO53" s="2" t="str">
        <f t="shared" si="4"/>
        <v>Exceeds</v>
      </c>
      <c r="AP53" s="2" t="str">
        <f t="shared" si="5"/>
        <v>FAIBLE</v>
      </c>
    </row>
    <row r="54" spans="1:42">
      <c r="A54" s="2" t="s">
        <v>660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s="2" t="s">
        <v>15</v>
      </c>
      <c r="N54" s="2" t="s">
        <v>16</v>
      </c>
      <c r="O54">
        <v>2452</v>
      </c>
      <c r="P54" s="1">
        <v>28346</v>
      </c>
      <c r="Q54" s="2" t="s">
        <v>17</v>
      </c>
      <c r="R54" s="2" t="s">
        <v>18</v>
      </c>
      <c r="S54" s="2" t="s">
        <v>19</v>
      </c>
      <c r="T54" s="2" t="s">
        <v>20</v>
      </c>
      <c r="U54" s="2" t="s">
        <v>21</v>
      </c>
      <c r="V54" s="1">
        <v>41493</v>
      </c>
      <c r="W54" s="1"/>
      <c r="X54" s="2" t="s">
        <v>22</v>
      </c>
      <c r="Y54" s="2" t="s">
        <v>23</v>
      </c>
      <c r="Z54" s="2" t="s">
        <v>24</v>
      </c>
      <c r="AA54" s="2" t="s">
        <v>81</v>
      </c>
      <c r="AB54">
        <v>14</v>
      </c>
      <c r="AC54" s="2" t="s">
        <v>69</v>
      </c>
      <c r="AD54" s="2" t="s">
        <v>39</v>
      </c>
      <c r="AE54" s="2" t="s">
        <v>103</v>
      </c>
      <c r="AF54">
        <v>5</v>
      </c>
      <c r="AG54">
        <v>0</v>
      </c>
      <c r="AH54" t="s">
        <v>104</v>
      </c>
      <c r="AI54">
        <v>0</v>
      </c>
      <c r="AJ54">
        <v>3</v>
      </c>
      <c r="AK54">
        <f t="shared" ca="1" si="0"/>
        <v>48</v>
      </c>
      <c r="AL54">
        <f t="shared" ca="1" si="1"/>
        <v>12</v>
      </c>
      <c r="AM54" t="str">
        <f t="shared" si="2"/>
        <v>Actif</v>
      </c>
      <c r="AN54" s="2" t="str">
        <f t="shared" ca="1" si="3"/>
        <v>45-59 ans</v>
      </c>
      <c r="AO54" s="2" t="str">
        <f t="shared" si="4"/>
        <v>Fully Meets</v>
      </c>
      <c r="AP54" s="2" t="str">
        <f t="shared" si="5"/>
        <v>FAIBLE</v>
      </c>
    </row>
    <row r="55" spans="1:42">
      <c r="A55" s="2" t="s">
        <v>661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s="2" t="s">
        <v>15</v>
      </c>
      <c r="N55" s="2" t="s">
        <v>16</v>
      </c>
      <c r="O55">
        <v>1880</v>
      </c>
      <c r="P55" s="1">
        <v>29197</v>
      </c>
      <c r="Q55" s="2" t="s">
        <v>17</v>
      </c>
      <c r="R55" s="2" t="s">
        <v>18</v>
      </c>
      <c r="S55" s="2" t="s">
        <v>19</v>
      </c>
      <c r="T55" s="2" t="s">
        <v>20</v>
      </c>
      <c r="U55" s="2" t="s">
        <v>71</v>
      </c>
      <c r="V55" s="1">
        <v>40854</v>
      </c>
      <c r="W55" s="1">
        <v>42636</v>
      </c>
      <c r="X55" s="2" t="s">
        <v>108</v>
      </c>
      <c r="Y55" s="2" t="s">
        <v>100</v>
      </c>
      <c r="Z55" s="2" t="s">
        <v>24</v>
      </c>
      <c r="AA55" s="2" t="s">
        <v>47</v>
      </c>
      <c r="AB55">
        <v>20</v>
      </c>
      <c r="AC55" s="2" t="s">
        <v>26</v>
      </c>
      <c r="AD55" s="2" t="s">
        <v>118</v>
      </c>
      <c r="AE55" s="2" t="s">
        <v>119</v>
      </c>
      <c r="AF55">
        <v>3</v>
      </c>
      <c r="AG55">
        <v>0</v>
      </c>
      <c r="AH55">
        <v>42374</v>
      </c>
      <c r="AI55">
        <v>5</v>
      </c>
      <c r="AJ55">
        <v>16</v>
      </c>
      <c r="AK55">
        <f t="shared" ca="1" si="0"/>
        <v>46</v>
      </c>
      <c r="AL55">
        <f t="shared" ca="1" si="1"/>
        <v>4</v>
      </c>
      <c r="AM55" t="str">
        <f t="shared" si="2"/>
        <v>Involontaire</v>
      </c>
      <c r="AN55" s="2" t="str">
        <f t="shared" ca="1" si="3"/>
        <v>45-59 ans</v>
      </c>
      <c r="AO55" s="2" t="str">
        <f t="shared" si="4"/>
        <v>Needs Improvement</v>
      </c>
      <c r="AP55" s="2" t="str">
        <f t="shared" si="5"/>
        <v>SURVEILLER</v>
      </c>
    </row>
    <row r="56" spans="1:42">
      <c r="A56" s="2" t="s">
        <v>662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s="2" t="s">
        <v>133</v>
      </c>
      <c r="N56" s="2" t="s">
        <v>16</v>
      </c>
      <c r="O56">
        <v>1803</v>
      </c>
      <c r="P56" s="1">
        <v>27745</v>
      </c>
      <c r="Q56" s="2" t="s">
        <v>17</v>
      </c>
      <c r="R56" s="2" t="s">
        <v>53</v>
      </c>
      <c r="S56" s="2" t="s">
        <v>19</v>
      </c>
      <c r="T56" s="2" t="s">
        <v>20</v>
      </c>
      <c r="U56" s="2" t="s">
        <v>21</v>
      </c>
      <c r="V56" s="1">
        <v>40379</v>
      </c>
      <c r="W56" s="1"/>
      <c r="X56" s="2" t="s">
        <v>22</v>
      </c>
      <c r="Y56" s="2" t="s">
        <v>23</v>
      </c>
      <c r="Z56" s="2" t="s">
        <v>24</v>
      </c>
      <c r="AA56" s="2" t="s">
        <v>135</v>
      </c>
      <c r="AB56">
        <v>2</v>
      </c>
      <c r="AC56" s="2" t="s">
        <v>117</v>
      </c>
      <c r="AD56" s="2" t="s">
        <v>118</v>
      </c>
      <c r="AE56" s="2" t="s">
        <v>204</v>
      </c>
      <c r="AF56">
        <v>2</v>
      </c>
      <c r="AG56">
        <v>0</v>
      </c>
      <c r="AH56" t="s">
        <v>104</v>
      </c>
      <c r="AI56">
        <v>3</v>
      </c>
      <c r="AJ56">
        <v>3</v>
      </c>
      <c r="AK56">
        <f t="shared" ca="1" si="0"/>
        <v>50</v>
      </c>
      <c r="AL56">
        <f t="shared" ca="1" si="1"/>
        <v>15</v>
      </c>
      <c r="AM56" t="str">
        <f t="shared" si="2"/>
        <v>Actif</v>
      </c>
      <c r="AN56" s="2" t="str">
        <f t="shared" ca="1" si="3"/>
        <v>45-59 ans</v>
      </c>
      <c r="AO56" s="2" t="str">
        <f t="shared" si="4"/>
        <v>Needs Improvement</v>
      </c>
      <c r="AP56" s="2" t="str">
        <f t="shared" si="5"/>
        <v>FAIBLE</v>
      </c>
    </row>
    <row r="57" spans="1:42">
      <c r="A57" s="2" t="s">
        <v>663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s="2" t="s">
        <v>205</v>
      </c>
      <c r="N57" s="2" t="s">
        <v>16</v>
      </c>
      <c r="O57">
        <v>2030</v>
      </c>
      <c r="P57" s="1">
        <v>30394</v>
      </c>
      <c r="Q57" s="2" t="s">
        <v>17</v>
      </c>
      <c r="R57" s="2" t="s">
        <v>18</v>
      </c>
      <c r="S57" s="2" t="s">
        <v>19</v>
      </c>
      <c r="T57" s="2" t="s">
        <v>20</v>
      </c>
      <c r="U57" s="2" t="s">
        <v>71</v>
      </c>
      <c r="V57" s="1">
        <v>39934</v>
      </c>
      <c r="W57" s="1"/>
      <c r="X57" s="2" t="s">
        <v>22</v>
      </c>
      <c r="Y57" s="2" t="s">
        <v>23</v>
      </c>
      <c r="Z57" s="2" t="s">
        <v>24</v>
      </c>
      <c r="AA57" s="2" t="s">
        <v>135</v>
      </c>
      <c r="AB57">
        <v>2</v>
      </c>
      <c r="AC57" s="2" t="s">
        <v>38</v>
      </c>
      <c r="AD57" s="2" t="s">
        <v>27</v>
      </c>
      <c r="AE57" s="2" t="s">
        <v>207</v>
      </c>
      <c r="AF57">
        <v>5</v>
      </c>
      <c r="AG57">
        <v>0</v>
      </c>
      <c r="AH57">
        <v>43557</v>
      </c>
      <c r="AI57">
        <v>0</v>
      </c>
      <c r="AJ57">
        <v>15</v>
      </c>
      <c r="AK57">
        <f t="shared" ca="1" si="0"/>
        <v>43</v>
      </c>
      <c r="AL57">
        <f t="shared" ca="1" si="1"/>
        <v>16</v>
      </c>
      <c r="AM57" t="str">
        <f t="shared" si="2"/>
        <v>Actif</v>
      </c>
      <c r="AN57" s="2" t="str">
        <f t="shared" ca="1" si="3"/>
        <v>30-44 ans</v>
      </c>
      <c r="AO57" s="2" t="str">
        <f t="shared" si="4"/>
        <v>Exceeds</v>
      </c>
      <c r="AP57" s="2" t="str">
        <f t="shared" si="5"/>
        <v>SURVEILLER</v>
      </c>
    </row>
    <row r="58" spans="1:42">
      <c r="A58" s="2" t="s">
        <v>664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s="2" t="s">
        <v>15</v>
      </c>
      <c r="N58" s="2" t="s">
        <v>16</v>
      </c>
      <c r="O58">
        <v>2189</v>
      </c>
      <c r="P58" s="1">
        <v>28215</v>
      </c>
      <c r="Q58" s="2" t="s">
        <v>44</v>
      </c>
      <c r="R58" s="2" t="s">
        <v>31</v>
      </c>
      <c r="S58" s="2" t="s">
        <v>19</v>
      </c>
      <c r="T58" s="2" t="s">
        <v>79</v>
      </c>
      <c r="U58" s="2" t="s">
        <v>21</v>
      </c>
      <c r="V58" s="1">
        <v>42125</v>
      </c>
      <c r="W58" s="1"/>
      <c r="X58" s="2" t="s">
        <v>22</v>
      </c>
      <c r="Y58" s="2" t="s">
        <v>23</v>
      </c>
      <c r="Z58" s="2" t="s">
        <v>24</v>
      </c>
      <c r="AA58" s="2" t="s">
        <v>93</v>
      </c>
      <c r="AB58">
        <v>18</v>
      </c>
      <c r="AC58" s="2" t="s">
        <v>38</v>
      </c>
      <c r="AD58" s="2" t="s">
        <v>39</v>
      </c>
      <c r="AE58" s="2" t="s">
        <v>209</v>
      </c>
      <c r="AF58">
        <v>5</v>
      </c>
      <c r="AG58">
        <v>0</v>
      </c>
      <c r="AH58" t="s">
        <v>94</v>
      </c>
      <c r="AI58">
        <v>0</v>
      </c>
      <c r="AJ58">
        <v>6</v>
      </c>
      <c r="AK58">
        <f t="shared" ca="1" si="0"/>
        <v>49</v>
      </c>
      <c r="AL58">
        <f t="shared" ca="1" si="1"/>
        <v>10</v>
      </c>
      <c r="AM58" t="str">
        <f t="shared" si="2"/>
        <v>Actif</v>
      </c>
      <c r="AN58" s="2" t="str">
        <f t="shared" ca="1" si="3"/>
        <v>45-59 ans</v>
      </c>
      <c r="AO58" s="2" t="str">
        <f t="shared" si="4"/>
        <v>Fully Meets</v>
      </c>
      <c r="AP58" s="2" t="str">
        <f t="shared" si="5"/>
        <v>FAIBLE</v>
      </c>
    </row>
    <row r="59" spans="1:42">
      <c r="A59" s="2" t="s">
        <v>665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s="2" t="s">
        <v>87</v>
      </c>
      <c r="N59" s="2" t="s">
        <v>16</v>
      </c>
      <c r="O59">
        <v>1810</v>
      </c>
      <c r="P59" s="1">
        <v>31650</v>
      </c>
      <c r="Q59" s="2" t="s">
        <v>17</v>
      </c>
      <c r="R59" s="2" t="s">
        <v>31</v>
      </c>
      <c r="S59" s="2" t="s">
        <v>19</v>
      </c>
      <c r="T59" s="2" t="s">
        <v>20</v>
      </c>
      <c r="U59" s="2" t="s">
        <v>21</v>
      </c>
      <c r="V59" s="1">
        <v>42093</v>
      </c>
      <c r="W59" s="1"/>
      <c r="X59" s="2" t="s">
        <v>22</v>
      </c>
      <c r="Y59" s="2" t="s">
        <v>23</v>
      </c>
      <c r="Z59" s="2" t="s">
        <v>36</v>
      </c>
      <c r="AA59" s="2" t="s">
        <v>37</v>
      </c>
      <c r="AB59">
        <v>4</v>
      </c>
      <c r="AC59" s="2" t="s">
        <v>38</v>
      </c>
      <c r="AD59" s="2" t="s">
        <v>39</v>
      </c>
      <c r="AE59" s="2" t="s">
        <v>64</v>
      </c>
      <c r="AF59">
        <v>3</v>
      </c>
      <c r="AG59">
        <v>6</v>
      </c>
      <c r="AH59" t="s">
        <v>211</v>
      </c>
      <c r="AI59">
        <v>0</v>
      </c>
      <c r="AJ59">
        <v>2</v>
      </c>
      <c r="AK59">
        <f t="shared" ca="1" si="0"/>
        <v>39</v>
      </c>
      <c r="AL59">
        <f t="shared" ca="1" si="1"/>
        <v>11</v>
      </c>
      <c r="AM59" t="str">
        <f t="shared" si="2"/>
        <v>Actif</v>
      </c>
      <c r="AN59" s="2" t="str">
        <f t="shared" ca="1" si="3"/>
        <v>30-44 ans</v>
      </c>
      <c r="AO59" s="2" t="str">
        <f t="shared" si="4"/>
        <v>Fully Meets</v>
      </c>
      <c r="AP59" s="2" t="str">
        <f t="shared" si="5"/>
        <v>FAIBLE</v>
      </c>
    </row>
    <row r="60" spans="1:42">
      <c r="A60" s="2" t="s">
        <v>666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s="2" t="s">
        <v>15</v>
      </c>
      <c r="N60" s="2" t="s">
        <v>16</v>
      </c>
      <c r="O60">
        <v>1821</v>
      </c>
      <c r="P60" s="1">
        <v>32054</v>
      </c>
      <c r="Q60" s="2" t="s">
        <v>44</v>
      </c>
      <c r="R60" s="2" t="s">
        <v>18</v>
      </c>
      <c r="S60" s="2" t="s">
        <v>19</v>
      </c>
      <c r="T60" s="2" t="s">
        <v>20</v>
      </c>
      <c r="U60" s="2" t="s">
        <v>21</v>
      </c>
      <c r="V60" s="1">
        <v>42528</v>
      </c>
      <c r="W60" s="1"/>
      <c r="X60" s="2" t="s">
        <v>22</v>
      </c>
      <c r="Y60" s="2" t="s">
        <v>23</v>
      </c>
      <c r="Z60" s="2" t="s">
        <v>24</v>
      </c>
      <c r="AA60" s="2" t="s">
        <v>25</v>
      </c>
      <c r="AB60">
        <v>22</v>
      </c>
      <c r="AC60" s="2" t="s">
        <v>26</v>
      </c>
      <c r="AD60" s="2" t="s">
        <v>39</v>
      </c>
      <c r="AE60" s="2" t="s">
        <v>212</v>
      </c>
      <c r="AF60">
        <v>5</v>
      </c>
      <c r="AG60">
        <v>0</v>
      </c>
      <c r="AH60" t="s">
        <v>213</v>
      </c>
      <c r="AI60">
        <v>0</v>
      </c>
      <c r="AJ60">
        <v>15</v>
      </c>
      <c r="AK60">
        <f t="shared" ca="1" si="0"/>
        <v>38</v>
      </c>
      <c r="AL60">
        <f t="shared" ca="1" si="1"/>
        <v>9</v>
      </c>
      <c r="AM60" t="str">
        <f t="shared" si="2"/>
        <v>Actif</v>
      </c>
      <c r="AN60" s="2" t="str">
        <f t="shared" ca="1" si="3"/>
        <v>30-44 ans</v>
      </c>
      <c r="AO60" s="2" t="str">
        <f t="shared" si="4"/>
        <v>Fully Meets</v>
      </c>
      <c r="AP60" s="2" t="str">
        <f t="shared" si="5"/>
        <v>SURVEILLER</v>
      </c>
    </row>
    <row r="61" spans="1:42">
      <c r="A61" s="2" t="s">
        <v>667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s="2" t="s">
        <v>214</v>
      </c>
      <c r="N61" s="2" t="s">
        <v>123</v>
      </c>
      <c r="O61">
        <v>6278</v>
      </c>
      <c r="P61" s="1">
        <v>23994</v>
      </c>
      <c r="Q61" s="2" t="s">
        <v>17</v>
      </c>
      <c r="R61" s="2" t="s">
        <v>18</v>
      </c>
      <c r="S61" s="2" t="s">
        <v>19</v>
      </c>
      <c r="T61" s="2" t="s">
        <v>20</v>
      </c>
      <c r="U61" s="2" t="s">
        <v>21</v>
      </c>
      <c r="V61" s="1">
        <v>41923</v>
      </c>
      <c r="W61" s="1"/>
      <c r="X61" s="2" t="s">
        <v>22</v>
      </c>
      <c r="Y61" s="2" t="s">
        <v>23</v>
      </c>
      <c r="Z61" s="2" t="s">
        <v>36</v>
      </c>
      <c r="AA61" s="2" t="s">
        <v>77</v>
      </c>
      <c r="AB61">
        <v>7</v>
      </c>
      <c r="AC61" s="2" t="s">
        <v>69</v>
      </c>
      <c r="AD61" s="2" t="s">
        <v>39</v>
      </c>
      <c r="AE61" s="2" t="s">
        <v>57</v>
      </c>
      <c r="AF61">
        <v>3</v>
      </c>
      <c r="AG61">
        <v>4</v>
      </c>
      <c r="AH61">
        <v>43497</v>
      </c>
      <c r="AI61">
        <v>0</v>
      </c>
      <c r="AJ61">
        <v>5</v>
      </c>
      <c r="AK61">
        <f t="shared" ca="1" si="0"/>
        <v>60</v>
      </c>
      <c r="AL61">
        <f t="shared" ca="1" si="1"/>
        <v>11</v>
      </c>
      <c r="AM61" t="str">
        <f t="shared" si="2"/>
        <v>Actif</v>
      </c>
      <c r="AN61" s="2" t="str">
        <f t="shared" ca="1" si="3"/>
        <v>60 ans et plus</v>
      </c>
      <c r="AO61" s="2" t="str">
        <f t="shared" si="4"/>
        <v>Fully Meets</v>
      </c>
      <c r="AP61" s="2" t="str">
        <f t="shared" si="5"/>
        <v>FAIBLE</v>
      </c>
    </row>
    <row r="62" spans="1:42">
      <c r="A62" s="2" t="s">
        <v>668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s="2" t="s">
        <v>215</v>
      </c>
      <c r="N62" s="2" t="s">
        <v>171</v>
      </c>
      <c r="O62">
        <v>5473</v>
      </c>
      <c r="P62" s="1">
        <v>32982</v>
      </c>
      <c r="Q62" s="2" t="s">
        <v>44</v>
      </c>
      <c r="R62" s="2" t="s">
        <v>18</v>
      </c>
      <c r="S62" s="2" t="s">
        <v>19</v>
      </c>
      <c r="T62" s="2" t="s">
        <v>20</v>
      </c>
      <c r="U62" s="2" t="s">
        <v>21</v>
      </c>
      <c r="V62" s="1">
        <v>41764</v>
      </c>
      <c r="W62" s="1"/>
      <c r="X62" s="2" t="s">
        <v>22</v>
      </c>
      <c r="Y62" s="2" t="s">
        <v>23</v>
      </c>
      <c r="Z62" s="2" t="s">
        <v>154</v>
      </c>
      <c r="AA62" s="2" t="s">
        <v>217</v>
      </c>
      <c r="AB62">
        <v>15</v>
      </c>
      <c r="AC62" s="2" t="s">
        <v>38</v>
      </c>
      <c r="AD62" s="2" t="s">
        <v>39</v>
      </c>
      <c r="AE62" s="2" t="s">
        <v>218</v>
      </c>
      <c r="AF62">
        <v>4</v>
      </c>
      <c r="AG62">
        <v>0</v>
      </c>
      <c r="AH62" t="s">
        <v>219</v>
      </c>
      <c r="AI62">
        <v>0</v>
      </c>
      <c r="AJ62">
        <v>8</v>
      </c>
      <c r="AK62">
        <f t="shared" ca="1" si="0"/>
        <v>35</v>
      </c>
      <c r="AL62">
        <f t="shared" ca="1" si="1"/>
        <v>11</v>
      </c>
      <c r="AM62" t="str">
        <f t="shared" si="2"/>
        <v>Actif</v>
      </c>
      <c r="AN62" s="2" t="str">
        <f t="shared" ca="1" si="3"/>
        <v>30-44 ans</v>
      </c>
      <c r="AO62" s="2" t="str">
        <f t="shared" si="4"/>
        <v>Fully Meets</v>
      </c>
      <c r="AP62" s="2" t="str">
        <f t="shared" si="5"/>
        <v>FAIBLE</v>
      </c>
    </row>
    <row r="63" spans="1:42">
      <c r="A63" s="2" t="s">
        <v>669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s="2" t="s">
        <v>214</v>
      </c>
      <c r="N63" s="2" t="s">
        <v>123</v>
      </c>
      <c r="O63">
        <v>6033</v>
      </c>
      <c r="P63" s="1">
        <v>19011</v>
      </c>
      <c r="Q63" s="2" t="s">
        <v>44</v>
      </c>
      <c r="R63" s="2" t="s">
        <v>31</v>
      </c>
      <c r="S63" s="2" t="s">
        <v>19</v>
      </c>
      <c r="T63" s="2" t="s">
        <v>20</v>
      </c>
      <c r="U63" s="2" t="s">
        <v>21</v>
      </c>
      <c r="V63" s="1">
        <v>41923</v>
      </c>
      <c r="W63" s="1"/>
      <c r="X63" s="2" t="s">
        <v>22</v>
      </c>
      <c r="Y63" s="2" t="s">
        <v>23</v>
      </c>
      <c r="Z63" s="2" t="s">
        <v>36</v>
      </c>
      <c r="AA63" s="2" t="s">
        <v>77</v>
      </c>
      <c r="AB63">
        <v>7</v>
      </c>
      <c r="AC63" s="2" t="s">
        <v>26</v>
      </c>
      <c r="AD63" s="2" t="s">
        <v>39</v>
      </c>
      <c r="AE63" s="2" t="s">
        <v>221</v>
      </c>
      <c r="AF63">
        <v>5</v>
      </c>
      <c r="AG63">
        <v>8</v>
      </c>
      <c r="AH63">
        <v>43801</v>
      </c>
      <c r="AI63">
        <v>0</v>
      </c>
      <c r="AJ63">
        <v>19</v>
      </c>
      <c r="AK63">
        <f t="shared" ca="1" si="0"/>
        <v>74</v>
      </c>
      <c r="AL63">
        <f t="shared" ca="1" si="1"/>
        <v>11</v>
      </c>
      <c r="AM63" t="str">
        <f t="shared" si="2"/>
        <v>Actif</v>
      </c>
      <c r="AN63" s="2" t="str">
        <f t="shared" ca="1" si="3"/>
        <v>60 ans et plus</v>
      </c>
      <c r="AO63" s="2" t="str">
        <f t="shared" si="4"/>
        <v>Fully Meets</v>
      </c>
      <c r="AP63" s="2" t="str">
        <f t="shared" si="5"/>
        <v>SURVEILLER</v>
      </c>
    </row>
    <row r="64" spans="1:42">
      <c r="A64" s="2" t="s">
        <v>670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s="2" t="s">
        <v>15</v>
      </c>
      <c r="N64" s="2" t="s">
        <v>16</v>
      </c>
      <c r="O64">
        <v>2110</v>
      </c>
      <c r="P64" s="1">
        <v>28621</v>
      </c>
      <c r="Q64" s="2" t="s">
        <v>44</v>
      </c>
      <c r="R64" s="2" t="s">
        <v>31</v>
      </c>
      <c r="S64" s="2" t="s">
        <v>19</v>
      </c>
      <c r="T64" s="2" t="s">
        <v>20</v>
      </c>
      <c r="U64" s="2" t="s">
        <v>21</v>
      </c>
      <c r="V64" s="1">
        <v>40946</v>
      </c>
      <c r="W64" s="1"/>
      <c r="X64" s="2" t="s">
        <v>22</v>
      </c>
      <c r="Y64" s="2" t="s">
        <v>23</v>
      </c>
      <c r="Z64" s="2" t="s">
        <v>24</v>
      </c>
      <c r="AA64" s="2" t="s">
        <v>51</v>
      </c>
      <c r="AB64">
        <v>16</v>
      </c>
      <c r="AC64" s="2" t="s">
        <v>38</v>
      </c>
      <c r="AD64" s="2" t="s">
        <v>39</v>
      </c>
      <c r="AE64" s="2" t="s">
        <v>57</v>
      </c>
      <c r="AF64">
        <v>3</v>
      </c>
      <c r="AG64">
        <v>0</v>
      </c>
      <c r="AH64" t="s">
        <v>70</v>
      </c>
      <c r="AI64">
        <v>0</v>
      </c>
      <c r="AJ64">
        <v>1</v>
      </c>
      <c r="AK64">
        <f t="shared" ca="1" si="0"/>
        <v>47</v>
      </c>
      <c r="AL64">
        <f t="shared" ca="1" si="1"/>
        <v>14</v>
      </c>
      <c r="AM64" t="str">
        <f t="shared" si="2"/>
        <v>Actif</v>
      </c>
      <c r="AN64" s="2" t="str">
        <f t="shared" ca="1" si="3"/>
        <v>45-59 ans</v>
      </c>
      <c r="AO64" s="2" t="str">
        <f t="shared" si="4"/>
        <v>Fully Meets</v>
      </c>
      <c r="AP64" s="2" t="str">
        <f t="shared" si="5"/>
        <v>FAIBLE</v>
      </c>
    </row>
    <row r="65" spans="1:42">
      <c r="A65" s="2" t="s">
        <v>671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s="2" t="s">
        <v>42</v>
      </c>
      <c r="N65" s="2" t="s">
        <v>16</v>
      </c>
      <c r="O65">
        <v>2458</v>
      </c>
      <c r="P65" s="1">
        <v>29112</v>
      </c>
      <c r="Q65" s="2" t="s">
        <v>17</v>
      </c>
      <c r="R65" s="2" t="s">
        <v>18</v>
      </c>
      <c r="S65" s="2" t="s">
        <v>106</v>
      </c>
      <c r="T65" s="2" t="s">
        <v>20</v>
      </c>
      <c r="U65" s="2" t="s">
        <v>91</v>
      </c>
      <c r="V65" s="1">
        <v>40735</v>
      </c>
      <c r="W65" s="1"/>
      <c r="X65" s="2" t="s">
        <v>22</v>
      </c>
      <c r="Y65" s="2" t="s">
        <v>23</v>
      </c>
      <c r="Z65" s="2" t="s">
        <v>24</v>
      </c>
      <c r="AA65" s="2" t="s">
        <v>47</v>
      </c>
      <c r="AB65">
        <v>20</v>
      </c>
      <c r="AC65" s="2" t="s">
        <v>26</v>
      </c>
      <c r="AD65" s="2" t="s">
        <v>39</v>
      </c>
      <c r="AE65" s="2" t="s">
        <v>223</v>
      </c>
      <c r="AF65">
        <v>4</v>
      </c>
      <c r="AG65">
        <v>0</v>
      </c>
      <c r="AH65" t="s">
        <v>115</v>
      </c>
      <c r="AI65">
        <v>0</v>
      </c>
      <c r="AJ65">
        <v>6</v>
      </c>
      <c r="AK65">
        <f t="shared" ca="1" si="0"/>
        <v>46</v>
      </c>
      <c r="AL65">
        <f t="shared" ca="1" si="1"/>
        <v>14</v>
      </c>
      <c r="AM65" t="str">
        <f t="shared" si="2"/>
        <v>Actif</v>
      </c>
      <c r="AN65" s="2" t="str">
        <f t="shared" ca="1" si="3"/>
        <v>45-59 ans</v>
      </c>
      <c r="AO65" s="2" t="str">
        <f t="shared" si="4"/>
        <v>Fully Meets</v>
      </c>
      <c r="AP65" s="2" t="str">
        <f t="shared" si="5"/>
        <v>FAIBLE</v>
      </c>
    </row>
    <row r="66" spans="1:42">
      <c r="A66" s="2" t="s">
        <v>672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s="2" t="s">
        <v>15</v>
      </c>
      <c r="N66" s="2" t="s">
        <v>16</v>
      </c>
      <c r="O66">
        <v>2138</v>
      </c>
      <c r="P66" s="1">
        <v>32248</v>
      </c>
      <c r="Q66" s="2" t="s">
        <v>17</v>
      </c>
      <c r="R66" s="2" t="s">
        <v>31</v>
      </c>
      <c r="S66" s="2" t="s">
        <v>19</v>
      </c>
      <c r="T66" s="2" t="s">
        <v>20</v>
      </c>
      <c r="U66" s="2" t="s">
        <v>21</v>
      </c>
      <c r="V66" s="1">
        <v>43350</v>
      </c>
      <c r="W66" s="1"/>
      <c r="X66" s="2" t="s">
        <v>22</v>
      </c>
      <c r="Y66" s="2" t="s">
        <v>23</v>
      </c>
      <c r="Z66" s="2" t="s">
        <v>24</v>
      </c>
      <c r="AA66" s="2" t="s">
        <v>72</v>
      </c>
      <c r="AB66">
        <v>12</v>
      </c>
      <c r="AC66" s="2" t="s">
        <v>38</v>
      </c>
      <c r="AD66" s="2" t="s">
        <v>39</v>
      </c>
      <c r="AE66" s="2" t="s">
        <v>225</v>
      </c>
      <c r="AF66">
        <v>4</v>
      </c>
      <c r="AG66">
        <v>3</v>
      </c>
      <c r="AH66" t="s">
        <v>226</v>
      </c>
      <c r="AI66">
        <v>2</v>
      </c>
      <c r="AJ66">
        <v>2</v>
      </c>
      <c r="AK66">
        <f t="shared" ref="AK66:AK129" ca="1" si="6">DATEDIF(P66, TODAY(), "Y")</f>
        <v>37</v>
      </c>
      <c r="AL66">
        <f t="shared" ref="AL66:AL129" ca="1" si="7">INT((IF(K66=0, TODAY(), W66) - V66) / 365.25)</f>
        <v>7</v>
      </c>
      <c r="AM66" t="str">
        <f t="shared" ref="AM66:AM129" si="8">IF(K66=0, "Actif", IF(OR(X66="Another position", X66="more money", X66="unhappy", X66="career change", X66="return to school", X66="relocation out of area", X66="medical issues", X66="military", X66="retiring"), "Volontaire", "Involontaire"))</f>
        <v>Actif</v>
      </c>
      <c r="AN66" s="2" t="str">
        <f t="shared" ref="AN66:AN129" ca="1" si="9">IF(AK66&lt;30, "Moins de 30", IF(AK66&lt;45, "30-44 ans", IF(AK66&lt;60, "45-59 ans", "60 ans et plus")))</f>
        <v>30-44 ans</v>
      </c>
      <c r="AO66" s="2" t="str">
        <f t="shared" ref="AO66:AO129" si="10">IF(H66=1, "PIP", IF(H66=2, "Needs Improvement", IF(H66=3, "Fully Meets", IF(H66=4, "Exceeds", "Non défini"))))</f>
        <v>PIP</v>
      </c>
      <c r="AP66" s="2" t="str">
        <f t="shared" ref="AP66:AP129" si="11">IF(AND(AE66&lt;3, AF66&lt;3, AJ66&gt;15), "CRITIQUE", IF(OR(AE66&lt;3, AJ66&gt;10), "SURVEILLER", "FAIBLE"))</f>
        <v>FAIBLE</v>
      </c>
    </row>
    <row r="67" spans="1:42">
      <c r="A67" s="2" t="s">
        <v>673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s="2" t="s">
        <v>15</v>
      </c>
      <c r="N67" s="2" t="s">
        <v>16</v>
      </c>
      <c r="O67">
        <v>1810</v>
      </c>
      <c r="P67" s="1">
        <v>28429</v>
      </c>
      <c r="Q67" s="2" t="s">
        <v>17</v>
      </c>
      <c r="R67" s="2" t="s">
        <v>31</v>
      </c>
      <c r="S67" s="2" t="s">
        <v>19</v>
      </c>
      <c r="T67" s="2" t="s">
        <v>20</v>
      </c>
      <c r="U67" s="2" t="s">
        <v>21</v>
      </c>
      <c r="V67" s="1">
        <v>40679</v>
      </c>
      <c r="W67" s="1">
        <v>42588</v>
      </c>
      <c r="X67" s="2" t="s">
        <v>86</v>
      </c>
      <c r="Y67" s="2" t="s">
        <v>35</v>
      </c>
      <c r="Z67" s="2" t="s">
        <v>24</v>
      </c>
      <c r="AA67" s="2" t="s">
        <v>55</v>
      </c>
      <c r="AB67">
        <v>39</v>
      </c>
      <c r="AC67" s="2" t="s">
        <v>38</v>
      </c>
      <c r="AD67" s="2" t="s">
        <v>39</v>
      </c>
      <c r="AE67" s="2" t="s">
        <v>57</v>
      </c>
      <c r="AF67">
        <v>4</v>
      </c>
      <c r="AG67">
        <v>0</v>
      </c>
      <c r="AH67">
        <v>42404</v>
      </c>
      <c r="AI67">
        <v>0</v>
      </c>
      <c r="AJ67">
        <v>14</v>
      </c>
      <c r="AK67">
        <f t="shared" ca="1" si="6"/>
        <v>48</v>
      </c>
      <c r="AL67">
        <f t="shared" ca="1" si="7"/>
        <v>5</v>
      </c>
      <c r="AM67" t="str">
        <f t="shared" si="8"/>
        <v>Volontaire</v>
      </c>
      <c r="AN67" s="2" t="str">
        <f t="shared" ca="1" si="9"/>
        <v>45-59 ans</v>
      </c>
      <c r="AO67" s="2" t="str">
        <f t="shared" si="10"/>
        <v>Fully Meets</v>
      </c>
      <c r="AP67" s="2" t="str">
        <f t="shared" si="11"/>
        <v>SURVEILLER</v>
      </c>
    </row>
    <row r="68" spans="1:42">
      <c r="A68" s="2" t="s">
        <v>674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s="2" t="s">
        <v>60</v>
      </c>
      <c r="N68" s="2" t="s">
        <v>16</v>
      </c>
      <c r="O68">
        <v>2176</v>
      </c>
      <c r="P68" s="1">
        <v>28982</v>
      </c>
      <c r="Q68" s="2" t="s">
        <v>44</v>
      </c>
      <c r="R68" s="2" t="s">
        <v>18</v>
      </c>
      <c r="S68" s="2" t="s">
        <v>19</v>
      </c>
      <c r="T68" s="2" t="s">
        <v>20</v>
      </c>
      <c r="U68" s="2" t="s">
        <v>71</v>
      </c>
      <c r="V68" s="1">
        <v>41153</v>
      </c>
      <c r="W68" s="1"/>
      <c r="X68" s="2" t="s">
        <v>22</v>
      </c>
      <c r="Y68" s="2" t="s">
        <v>23</v>
      </c>
      <c r="Z68" s="2" t="s">
        <v>62</v>
      </c>
      <c r="AA68" s="2" t="s">
        <v>63</v>
      </c>
      <c r="AB68">
        <v>10</v>
      </c>
      <c r="AC68" s="2" t="s">
        <v>117</v>
      </c>
      <c r="AD68" s="2" t="s">
        <v>39</v>
      </c>
      <c r="AE68" s="2" t="s">
        <v>228</v>
      </c>
      <c r="AF68">
        <v>5</v>
      </c>
      <c r="AG68">
        <v>5</v>
      </c>
      <c r="AH68" t="s">
        <v>75</v>
      </c>
      <c r="AI68">
        <v>0</v>
      </c>
      <c r="AJ68">
        <v>8</v>
      </c>
      <c r="AK68">
        <f t="shared" ca="1" si="6"/>
        <v>46</v>
      </c>
      <c r="AL68">
        <f t="shared" ca="1" si="7"/>
        <v>13</v>
      </c>
      <c r="AM68" t="str">
        <f t="shared" si="8"/>
        <v>Actif</v>
      </c>
      <c r="AN68" s="2" t="str">
        <f t="shared" ca="1" si="9"/>
        <v>45-59 ans</v>
      </c>
      <c r="AO68" s="2" t="str">
        <f t="shared" si="10"/>
        <v>Fully Meets</v>
      </c>
      <c r="AP68" s="2" t="str">
        <f t="shared" si="11"/>
        <v>FAIBLE</v>
      </c>
    </row>
    <row r="69" spans="1:42">
      <c r="A69" s="2" t="s">
        <v>675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s="2" t="s">
        <v>151</v>
      </c>
      <c r="N69" s="2" t="s">
        <v>229</v>
      </c>
      <c r="O69">
        <v>36006</v>
      </c>
      <c r="P69" s="1">
        <v>27436</v>
      </c>
      <c r="Q69" s="2" t="s">
        <v>17</v>
      </c>
      <c r="R69" s="2" t="s">
        <v>18</v>
      </c>
      <c r="S69" s="2" t="s">
        <v>19</v>
      </c>
      <c r="T69" s="2" t="s">
        <v>20</v>
      </c>
      <c r="U69" s="2" t="s">
        <v>91</v>
      </c>
      <c r="V69" s="1">
        <v>41911</v>
      </c>
      <c r="W69" s="1"/>
      <c r="X69" s="2" t="s">
        <v>22</v>
      </c>
      <c r="Y69" s="2" t="s">
        <v>23</v>
      </c>
      <c r="Z69" s="2" t="s">
        <v>154</v>
      </c>
      <c r="AA69" s="2" t="s">
        <v>155</v>
      </c>
      <c r="AB69">
        <v>17</v>
      </c>
      <c r="AC69" s="2" t="s">
        <v>38</v>
      </c>
      <c r="AD69" s="2" t="s">
        <v>230</v>
      </c>
      <c r="AE69" s="2" t="s">
        <v>231</v>
      </c>
      <c r="AF69">
        <v>3</v>
      </c>
      <c r="AG69">
        <v>0</v>
      </c>
      <c r="AH69" t="s">
        <v>167</v>
      </c>
      <c r="AI69">
        <v>6</v>
      </c>
      <c r="AJ69">
        <v>5</v>
      </c>
      <c r="AK69">
        <f t="shared" ca="1" si="6"/>
        <v>51</v>
      </c>
      <c r="AL69">
        <f t="shared" ca="1" si="7"/>
        <v>11</v>
      </c>
      <c r="AM69" t="str">
        <f t="shared" si="8"/>
        <v>Actif</v>
      </c>
      <c r="AN69" s="2" t="str">
        <f t="shared" ca="1" si="9"/>
        <v>45-59 ans</v>
      </c>
      <c r="AO69" s="2" t="str">
        <f t="shared" si="10"/>
        <v>PIP</v>
      </c>
      <c r="AP69" s="2" t="str">
        <f t="shared" si="11"/>
        <v>FAIBLE</v>
      </c>
    </row>
    <row r="70" spans="1:42">
      <c r="A70" s="2" t="s">
        <v>676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s="2" t="s">
        <v>42</v>
      </c>
      <c r="N70" s="2" t="s">
        <v>16</v>
      </c>
      <c r="O70">
        <v>2343</v>
      </c>
      <c r="P70" s="1">
        <v>18684</v>
      </c>
      <c r="Q70" s="2" t="s">
        <v>44</v>
      </c>
      <c r="R70" s="2" t="s">
        <v>149</v>
      </c>
      <c r="S70" s="2" t="s">
        <v>19</v>
      </c>
      <c r="T70" s="2" t="s">
        <v>20</v>
      </c>
      <c r="U70" s="2" t="s">
        <v>71</v>
      </c>
      <c r="V70" s="1">
        <v>40637</v>
      </c>
      <c r="W70" s="1">
        <v>42105</v>
      </c>
      <c r="X70" s="2" t="s">
        <v>233</v>
      </c>
      <c r="Y70" s="2" t="s">
        <v>35</v>
      </c>
      <c r="Z70" s="2" t="s">
        <v>24</v>
      </c>
      <c r="AA70" s="2" t="s">
        <v>93</v>
      </c>
      <c r="AB70">
        <v>18</v>
      </c>
      <c r="AC70" s="2" t="s">
        <v>56</v>
      </c>
      <c r="AD70" s="2" t="s">
        <v>39</v>
      </c>
      <c r="AE70" s="2" t="s">
        <v>218</v>
      </c>
      <c r="AF70">
        <v>5</v>
      </c>
      <c r="AG70">
        <v>0</v>
      </c>
      <c r="AH70">
        <v>42160</v>
      </c>
      <c r="AI70">
        <v>0</v>
      </c>
      <c r="AJ70">
        <v>1</v>
      </c>
      <c r="AK70">
        <f t="shared" ca="1" si="6"/>
        <v>75</v>
      </c>
      <c r="AL70">
        <f t="shared" ca="1" si="7"/>
        <v>4</v>
      </c>
      <c r="AM70" t="str">
        <f t="shared" si="8"/>
        <v>Volontaire</v>
      </c>
      <c r="AN70" s="2" t="str">
        <f t="shared" ca="1" si="9"/>
        <v>60 ans et plus</v>
      </c>
      <c r="AO70" s="2" t="str">
        <f t="shared" si="10"/>
        <v>Fully Meets</v>
      </c>
      <c r="AP70" s="2" t="str">
        <f t="shared" si="11"/>
        <v>FAIBLE</v>
      </c>
    </row>
    <row r="71" spans="1:42">
      <c r="A71" s="2" t="s">
        <v>677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s="2" t="s">
        <v>15</v>
      </c>
      <c r="N71" s="2" t="s">
        <v>16</v>
      </c>
      <c r="O71">
        <v>2061</v>
      </c>
      <c r="P71" s="1">
        <v>24581</v>
      </c>
      <c r="Q71" s="2" t="s">
        <v>17</v>
      </c>
      <c r="R71" s="2" t="s">
        <v>31</v>
      </c>
      <c r="S71" s="2" t="s">
        <v>19</v>
      </c>
      <c r="T71" s="2" t="s">
        <v>20</v>
      </c>
      <c r="U71" s="2" t="s">
        <v>21</v>
      </c>
      <c r="V71" s="1">
        <v>41827</v>
      </c>
      <c r="W71" s="1"/>
      <c r="X71" s="2" t="s">
        <v>22</v>
      </c>
      <c r="Y71" s="2" t="s">
        <v>23</v>
      </c>
      <c r="Z71" s="2" t="s">
        <v>24</v>
      </c>
      <c r="AA71" s="2" t="s">
        <v>59</v>
      </c>
      <c r="AB71">
        <v>11</v>
      </c>
      <c r="AC71" s="2" t="s">
        <v>38</v>
      </c>
      <c r="AD71" s="2" t="s">
        <v>230</v>
      </c>
      <c r="AE71" s="2" t="s">
        <v>235</v>
      </c>
      <c r="AF71">
        <v>2</v>
      </c>
      <c r="AG71">
        <v>0</v>
      </c>
      <c r="AH71" t="s">
        <v>226</v>
      </c>
      <c r="AI71">
        <v>4</v>
      </c>
      <c r="AJ71">
        <v>9</v>
      </c>
      <c r="AK71">
        <f t="shared" ca="1" si="6"/>
        <v>58</v>
      </c>
      <c r="AL71">
        <f t="shared" ca="1" si="7"/>
        <v>11</v>
      </c>
      <c r="AM71" t="str">
        <f t="shared" si="8"/>
        <v>Actif</v>
      </c>
      <c r="AN71" s="2" t="str">
        <f t="shared" ca="1" si="9"/>
        <v>45-59 ans</v>
      </c>
      <c r="AO71" s="2" t="str">
        <f t="shared" si="10"/>
        <v>PIP</v>
      </c>
      <c r="AP71" s="2" t="str">
        <f t="shared" si="11"/>
        <v>FAIBLE</v>
      </c>
    </row>
    <row r="72" spans="1:42">
      <c r="A72" s="2" t="s">
        <v>678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s="2" t="s">
        <v>236</v>
      </c>
      <c r="N72" s="2" t="s">
        <v>16</v>
      </c>
      <c r="O72">
        <v>2045</v>
      </c>
      <c r="P72" s="1">
        <v>30415</v>
      </c>
      <c r="Q72" s="2" t="s">
        <v>17</v>
      </c>
      <c r="R72" s="2" t="s">
        <v>18</v>
      </c>
      <c r="S72" s="2" t="s">
        <v>19</v>
      </c>
      <c r="T72" s="2" t="s">
        <v>20</v>
      </c>
      <c r="U72" s="2" t="s">
        <v>21</v>
      </c>
      <c r="V72" s="1">
        <v>42781</v>
      </c>
      <c r="W72" s="1"/>
      <c r="X72" s="2" t="s">
        <v>22</v>
      </c>
      <c r="Y72" s="2" t="s">
        <v>23</v>
      </c>
      <c r="Z72" s="2" t="s">
        <v>36</v>
      </c>
      <c r="AA72" s="2" t="s">
        <v>238</v>
      </c>
      <c r="AB72">
        <v>13</v>
      </c>
      <c r="AC72" s="2" t="s">
        <v>38</v>
      </c>
      <c r="AD72" s="2" t="s">
        <v>39</v>
      </c>
      <c r="AE72" s="2" t="s">
        <v>239</v>
      </c>
      <c r="AF72">
        <v>5</v>
      </c>
      <c r="AG72">
        <v>7</v>
      </c>
      <c r="AH72" t="s">
        <v>240</v>
      </c>
      <c r="AI72">
        <v>0</v>
      </c>
      <c r="AJ72">
        <v>15</v>
      </c>
      <c r="AK72">
        <f t="shared" ca="1" si="6"/>
        <v>42</v>
      </c>
      <c r="AL72">
        <f t="shared" ca="1" si="7"/>
        <v>9</v>
      </c>
      <c r="AM72" t="str">
        <f t="shared" si="8"/>
        <v>Actif</v>
      </c>
      <c r="AN72" s="2" t="str">
        <f t="shared" ca="1" si="9"/>
        <v>30-44 ans</v>
      </c>
      <c r="AO72" s="2" t="str">
        <f t="shared" si="10"/>
        <v>Fully Meets</v>
      </c>
      <c r="AP72" s="2" t="str">
        <f t="shared" si="11"/>
        <v>SURVEILLER</v>
      </c>
    </row>
    <row r="73" spans="1:42">
      <c r="A73" s="2" t="s">
        <v>679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s="2" t="s">
        <v>15</v>
      </c>
      <c r="N73" s="2" t="s">
        <v>16</v>
      </c>
      <c r="O73">
        <v>2180</v>
      </c>
      <c r="P73" s="1">
        <v>30270</v>
      </c>
      <c r="Q73" s="2" t="s">
        <v>17</v>
      </c>
      <c r="R73" s="2" t="s">
        <v>18</v>
      </c>
      <c r="S73" s="2" t="s">
        <v>19</v>
      </c>
      <c r="T73" s="2" t="s">
        <v>20</v>
      </c>
      <c r="U73" s="2" t="s">
        <v>21</v>
      </c>
      <c r="V73" s="1">
        <v>41978</v>
      </c>
      <c r="W73" s="1"/>
      <c r="X73" s="2" t="s">
        <v>22</v>
      </c>
      <c r="Y73" s="2" t="s">
        <v>23</v>
      </c>
      <c r="Z73" s="2" t="s">
        <v>24</v>
      </c>
      <c r="AA73" s="2" t="s">
        <v>68</v>
      </c>
      <c r="AB73">
        <v>19</v>
      </c>
      <c r="AC73" s="2" t="s">
        <v>38</v>
      </c>
      <c r="AD73" s="2" t="s">
        <v>39</v>
      </c>
      <c r="AE73" s="2" t="s">
        <v>187</v>
      </c>
      <c r="AF73">
        <v>4</v>
      </c>
      <c r="AG73">
        <v>0</v>
      </c>
      <c r="AH73" t="s">
        <v>176</v>
      </c>
      <c r="AI73">
        <v>0</v>
      </c>
      <c r="AJ73">
        <v>1</v>
      </c>
      <c r="AK73">
        <f t="shared" ca="1" si="6"/>
        <v>43</v>
      </c>
      <c r="AL73">
        <f t="shared" ca="1" si="7"/>
        <v>11</v>
      </c>
      <c r="AM73" t="str">
        <f t="shared" si="8"/>
        <v>Actif</v>
      </c>
      <c r="AN73" s="2" t="str">
        <f t="shared" ca="1" si="9"/>
        <v>30-44 ans</v>
      </c>
      <c r="AO73" s="2" t="str">
        <f t="shared" si="10"/>
        <v>Fully Meets</v>
      </c>
      <c r="AP73" s="2" t="str">
        <f t="shared" si="11"/>
        <v>FAIBLE</v>
      </c>
    </row>
    <row r="74" spans="1:42">
      <c r="A74" s="2" t="s">
        <v>680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s="2" t="s">
        <v>151</v>
      </c>
      <c r="N74" s="2" t="s">
        <v>242</v>
      </c>
      <c r="O74">
        <v>98052</v>
      </c>
      <c r="P74" s="1">
        <v>31911</v>
      </c>
      <c r="Q74" s="2" t="s">
        <v>44</v>
      </c>
      <c r="R74" s="2" t="s">
        <v>18</v>
      </c>
      <c r="S74" s="2" t="s">
        <v>19</v>
      </c>
      <c r="T74" s="2" t="s">
        <v>79</v>
      </c>
      <c r="U74" s="2" t="s">
        <v>21</v>
      </c>
      <c r="V74" s="1">
        <v>40959</v>
      </c>
      <c r="W74" s="1"/>
      <c r="X74" s="2" t="s">
        <v>22</v>
      </c>
      <c r="Y74" s="2" t="s">
        <v>23</v>
      </c>
      <c r="Z74" s="2" t="s">
        <v>154</v>
      </c>
      <c r="AA74" s="2" t="s">
        <v>155</v>
      </c>
      <c r="AB74">
        <v>17</v>
      </c>
      <c r="AC74" s="2" t="s">
        <v>244</v>
      </c>
      <c r="AD74" s="2" t="s">
        <v>230</v>
      </c>
      <c r="AE74" s="2" t="s">
        <v>245</v>
      </c>
      <c r="AF74">
        <v>1</v>
      </c>
      <c r="AG74">
        <v>0</v>
      </c>
      <c r="AH74" t="s">
        <v>246</v>
      </c>
      <c r="AI74">
        <v>2</v>
      </c>
      <c r="AJ74">
        <v>17</v>
      </c>
      <c r="AK74">
        <f t="shared" ca="1" si="6"/>
        <v>38</v>
      </c>
      <c r="AL74">
        <f t="shared" ca="1" si="7"/>
        <v>14</v>
      </c>
      <c r="AM74" t="str">
        <f t="shared" si="8"/>
        <v>Actif</v>
      </c>
      <c r="AN74" s="2" t="str">
        <f t="shared" ca="1" si="9"/>
        <v>30-44 ans</v>
      </c>
      <c r="AO74" s="2" t="str">
        <f t="shared" si="10"/>
        <v>PIP</v>
      </c>
      <c r="AP74" s="2" t="str">
        <f t="shared" si="11"/>
        <v>SURVEILLER</v>
      </c>
    </row>
    <row r="75" spans="1:42">
      <c r="A75" s="2" t="s">
        <v>681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s="2" t="s">
        <v>15</v>
      </c>
      <c r="N75" s="2" t="s">
        <v>16</v>
      </c>
      <c r="O75">
        <v>2351</v>
      </c>
      <c r="P75" s="1">
        <v>28533</v>
      </c>
      <c r="Q75" s="2" t="s">
        <v>44</v>
      </c>
      <c r="R75" s="2" t="s">
        <v>31</v>
      </c>
      <c r="S75" s="2" t="s">
        <v>19</v>
      </c>
      <c r="T75" s="2" t="s">
        <v>20</v>
      </c>
      <c r="U75" s="2" t="s">
        <v>71</v>
      </c>
      <c r="V75" s="1">
        <v>41456</v>
      </c>
      <c r="W75" s="1"/>
      <c r="X75" s="2" t="s">
        <v>22</v>
      </c>
      <c r="Y75" s="2" t="s">
        <v>23</v>
      </c>
      <c r="Z75" s="2" t="s">
        <v>24</v>
      </c>
      <c r="AA75" s="2" t="s">
        <v>72</v>
      </c>
      <c r="AB75">
        <v>12</v>
      </c>
      <c r="AC75" s="2" t="s">
        <v>38</v>
      </c>
      <c r="AD75" s="2" t="s">
        <v>118</v>
      </c>
      <c r="AE75" s="2" t="s">
        <v>247</v>
      </c>
      <c r="AF75">
        <v>4</v>
      </c>
      <c r="AG75">
        <v>0</v>
      </c>
      <c r="AH75" t="s">
        <v>248</v>
      </c>
      <c r="AI75">
        <v>0</v>
      </c>
      <c r="AJ75">
        <v>6</v>
      </c>
      <c r="AK75">
        <f t="shared" ca="1" si="6"/>
        <v>48</v>
      </c>
      <c r="AL75">
        <f t="shared" ca="1" si="7"/>
        <v>12</v>
      </c>
      <c r="AM75" t="str">
        <f t="shared" si="8"/>
        <v>Actif</v>
      </c>
      <c r="AN75" s="2" t="str">
        <f t="shared" ca="1" si="9"/>
        <v>45-59 ans</v>
      </c>
      <c r="AO75" s="2" t="str">
        <f t="shared" si="10"/>
        <v>Needs Improvement</v>
      </c>
      <c r="AP75" s="2" t="str">
        <f t="shared" si="11"/>
        <v>FAIBLE</v>
      </c>
    </row>
    <row r="76" spans="1:42">
      <c r="A76" s="2" t="s">
        <v>682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s="2" t="s">
        <v>15</v>
      </c>
      <c r="N76" s="2" t="s">
        <v>16</v>
      </c>
      <c r="O76">
        <v>2125</v>
      </c>
      <c r="P76" s="1">
        <v>31603</v>
      </c>
      <c r="Q76" s="2" t="s">
        <v>44</v>
      </c>
      <c r="R76" s="2" t="s">
        <v>18</v>
      </c>
      <c r="S76" s="2" t="s">
        <v>19</v>
      </c>
      <c r="T76" s="2" t="s">
        <v>79</v>
      </c>
      <c r="U76" s="2" t="s">
        <v>21</v>
      </c>
      <c r="V76" s="1">
        <v>40943</v>
      </c>
      <c r="W76" s="1"/>
      <c r="X76" s="2" t="s">
        <v>22</v>
      </c>
      <c r="Y76" s="2" t="s">
        <v>23</v>
      </c>
      <c r="Z76" s="2" t="s">
        <v>24</v>
      </c>
      <c r="AA76" s="2" t="s">
        <v>81</v>
      </c>
      <c r="AB76">
        <v>14</v>
      </c>
      <c r="AC76" s="2" t="s">
        <v>117</v>
      </c>
      <c r="AD76" s="2" t="s">
        <v>39</v>
      </c>
      <c r="AE76" s="2" t="s">
        <v>249</v>
      </c>
      <c r="AF76">
        <v>5</v>
      </c>
      <c r="AG76">
        <v>0</v>
      </c>
      <c r="AH76" t="s">
        <v>176</v>
      </c>
      <c r="AI76">
        <v>0</v>
      </c>
      <c r="AJ76">
        <v>15</v>
      </c>
      <c r="AK76">
        <f t="shared" ca="1" si="6"/>
        <v>39</v>
      </c>
      <c r="AL76">
        <f t="shared" ca="1" si="7"/>
        <v>14</v>
      </c>
      <c r="AM76" t="str">
        <f t="shared" si="8"/>
        <v>Actif</v>
      </c>
      <c r="AN76" s="2" t="str">
        <f t="shared" ca="1" si="9"/>
        <v>30-44 ans</v>
      </c>
      <c r="AO76" s="2" t="str">
        <f t="shared" si="10"/>
        <v>Fully Meets</v>
      </c>
      <c r="AP76" s="2" t="str">
        <f t="shared" si="11"/>
        <v>SURVEILLER</v>
      </c>
    </row>
    <row r="77" spans="1:42">
      <c r="A77" s="2" t="s">
        <v>683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s="2" t="s">
        <v>76</v>
      </c>
      <c r="N77" s="2" t="s">
        <v>16</v>
      </c>
      <c r="O77">
        <v>2119</v>
      </c>
      <c r="P77" s="1">
        <v>32342</v>
      </c>
      <c r="Q77" s="2" t="s">
        <v>44</v>
      </c>
      <c r="R77" s="2" t="s">
        <v>31</v>
      </c>
      <c r="S77" s="2" t="s">
        <v>19</v>
      </c>
      <c r="T77" s="2" t="s">
        <v>20</v>
      </c>
      <c r="U77" s="2" t="s">
        <v>21</v>
      </c>
      <c r="V77" s="1">
        <v>42125</v>
      </c>
      <c r="W77" s="1"/>
      <c r="X77" s="2" t="s">
        <v>22</v>
      </c>
      <c r="Y77" s="2" t="s">
        <v>23</v>
      </c>
      <c r="Z77" s="2" t="s">
        <v>36</v>
      </c>
      <c r="AA77" s="2" t="s">
        <v>77</v>
      </c>
      <c r="AB77">
        <v>7</v>
      </c>
      <c r="AC77" s="2" t="s">
        <v>69</v>
      </c>
      <c r="AD77" s="2" t="s">
        <v>39</v>
      </c>
      <c r="AE77" s="2" t="s">
        <v>251</v>
      </c>
      <c r="AF77">
        <v>4</v>
      </c>
      <c r="AG77">
        <v>6</v>
      </c>
      <c r="AH77" t="s">
        <v>70</v>
      </c>
      <c r="AI77">
        <v>0</v>
      </c>
      <c r="AJ77">
        <v>16</v>
      </c>
      <c r="AK77">
        <f t="shared" ca="1" si="6"/>
        <v>37</v>
      </c>
      <c r="AL77">
        <f t="shared" ca="1" si="7"/>
        <v>10</v>
      </c>
      <c r="AM77" t="str">
        <f t="shared" si="8"/>
        <v>Actif</v>
      </c>
      <c r="AN77" s="2" t="str">
        <f t="shared" ca="1" si="9"/>
        <v>30-44 ans</v>
      </c>
      <c r="AO77" s="2" t="str">
        <f t="shared" si="10"/>
        <v>Fully Meets</v>
      </c>
      <c r="AP77" s="2" t="str">
        <f t="shared" si="11"/>
        <v>SURVEILLER</v>
      </c>
    </row>
    <row r="78" spans="1:42">
      <c r="A78" s="2" t="s">
        <v>684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s="2" t="s">
        <v>252</v>
      </c>
      <c r="N78" s="2" t="s">
        <v>16</v>
      </c>
      <c r="O78">
        <v>1886</v>
      </c>
      <c r="P78" s="1">
        <v>25818</v>
      </c>
      <c r="Q78" s="2" t="s">
        <v>17</v>
      </c>
      <c r="R78" s="2" t="s">
        <v>18</v>
      </c>
      <c r="S78" s="2" t="s">
        <v>19</v>
      </c>
      <c r="T78" s="2" t="s">
        <v>20</v>
      </c>
      <c r="U78" s="2" t="s">
        <v>71</v>
      </c>
      <c r="V78" s="1">
        <v>41760</v>
      </c>
      <c r="W78" s="1"/>
      <c r="X78" s="2" t="s">
        <v>22</v>
      </c>
      <c r="Y78" s="2" t="s">
        <v>23</v>
      </c>
      <c r="Z78" s="2" t="s">
        <v>36</v>
      </c>
      <c r="AA78" s="2" t="s">
        <v>163</v>
      </c>
      <c r="AB78">
        <v>5</v>
      </c>
      <c r="AC78" s="2" t="s">
        <v>38</v>
      </c>
      <c r="AD78" s="2" t="s">
        <v>27</v>
      </c>
      <c r="AE78" s="2" t="s">
        <v>187</v>
      </c>
      <c r="AF78">
        <v>5</v>
      </c>
      <c r="AG78">
        <v>5</v>
      </c>
      <c r="AH78">
        <v>43556</v>
      </c>
      <c r="AI78">
        <v>0</v>
      </c>
      <c r="AJ78">
        <v>4</v>
      </c>
      <c r="AK78">
        <f t="shared" ca="1" si="6"/>
        <v>55</v>
      </c>
      <c r="AL78">
        <f t="shared" ca="1" si="7"/>
        <v>11</v>
      </c>
      <c r="AM78" t="str">
        <f t="shared" si="8"/>
        <v>Actif</v>
      </c>
      <c r="AN78" s="2" t="str">
        <f t="shared" ca="1" si="9"/>
        <v>45-59 ans</v>
      </c>
      <c r="AO78" s="2" t="str">
        <f t="shared" si="10"/>
        <v>Exceeds</v>
      </c>
      <c r="AP78" s="2" t="str">
        <f t="shared" si="11"/>
        <v>FAIBLE</v>
      </c>
    </row>
    <row r="79" spans="1:42">
      <c r="A79" s="2" t="s">
        <v>685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s="2" t="s">
        <v>151</v>
      </c>
      <c r="N79" s="2" t="s">
        <v>253</v>
      </c>
      <c r="O79">
        <v>90007</v>
      </c>
      <c r="P79" s="1">
        <v>32366</v>
      </c>
      <c r="Q79" s="2" t="s">
        <v>44</v>
      </c>
      <c r="R79" s="2" t="s">
        <v>18</v>
      </c>
      <c r="S79" s="2" t="s">
        <v>19</v>
      </c>
      <c r="T79" s="2" t="s">
        <v>20</v>
      </c>
      <c r="U79" s="2" t="s">
        <v>21</v>
      </c>
      <c r="V79" s="1">
        <v>40817</v>
      </c>
      <c r="W79" s="1"/>
      <c r="X79" s="2" t="s">
        <v>22</v>
      </c>
      <c r="Y79" s="2" t="s">
        <v>23</v>
      </c>
      <c r="Z79" s="2" t="s">
        <v>154</v>
      </c>
      <c r="AA79" s="2" t="s">
        <v>180</v>
      </c>
      <c r="AB79">
        <v>21</v>
      </c>
      <c r="AC79" s="2" t="s">
        <v>38</v>
      </c>
      <c r="AD79" s="2" t="s">
        <v>27</v>
      </c>
      <c r="AE79" s="2" t="s">
        <v>254</v>
      </c>
      <c r="AF79">
        <v>5</v>
      </c>
      <c r="AG79">
        <v>0</v>
      </c>
      <c r="AH79" t="s">
        <v>255</v>
      </c>
      <c r="AI79">
        <v>0</v>
      </c>
      <c r="AJ79">
        <v>14</v>
      </c>
      <c r="AK79">
        <f t="shared" ca="1" si="6"/>
        <v>37</v>
      </c>
      <c r="AL79">
        <f t="shared" ca="1" si="7"/>
        <v>14</v>
      </c>
      <c r="AM79" t="str">
        <f t="shared" si="8"/>
        <v>Actif</v>
      </c>
      <c r="AN79" s="2" t="str">
        <f t="shared" ca="1" si="9"/>
        <v>30-44 ans</v>
      </c>
      <c r="AO79" s="2" t="str">
        <f t="shared" si="10"/>
        <v>Exceeds</v>
      </c>
      <c r="AP79" s="2" t="str">
        <f t="shared" si="11"/>
        <v>SURVEILLER</v>
      </c>
    </row>
    <row r="80" spans="1:42">
      <c r="A80" s="2" t="s">
        <v>686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s="2" t="s">
        <v>133</v>
      </c>
      <c r="N80" s="2" t="s">
        <v>16</v>
      </c>
      <c r="O80">
        <v>1731</v>
      </c>
      <c r="P80" s="1">
        <v>26996</v>
      </c>
      <c r="Q80" s="2" t="s">
        <v>44</v>
      </c>
      <c r="R80" s="2" t="s">
        <v>18</v>
      </c>
      <c r="S80" s="2" t="s">
        <v>19</v>
      </c>
      <c r="T80" s="2" t="s">
        <v>20</v>
      </c>
      <c r="U80" s="2" t="s">
        <v>21</v>
      </c>
      <c r="V80" s="1">
        <v>41900</v>
      </c>
      <c r="W80" s="1"/>
      <c r="X80" s="2" t="s">
        <v>22</v>
      </c>
      <c r="Y80" s="2" t="s">
        <v>23</v>
      </c>
      <c r="Z80" s="2" t="s">
        <v>24</v>
      </c>
      <c r="AA80" s="2" t="s">
        <v>135</v>
      </c>
      <c r="AB80">
        <v>2</v>
      </c>
      <c r="AC80" s="2" t="s">
        <v>56</v>
      </c>
      <c r="AD80" s="2" t="s">
        <v>39</v>
      </c>
      <c r="AE80" s="2" t="s">
        <v>258</v>
      </c>
      <c r="AF80">
        <v>4</v>
      </c>
      <c r="AG80">
        <v>0</v>
      </c>
      <c r="AH80" t="s">
        <v>144</v>
      </c>
      <c r="AI80">
        <v>0</v>
      </c>
      <c r="AJ80">
        <v>4</v>
      </c>
      <c r="AK80">
        <f t="shared" ca="1" si="6"/>
        <v>52</v>
      </c>
      <c r="AL80">
        <f t="shared" ca="1" si="7"/>
        <v>11</v>
      </c>
      <c r="AM80" t="str">
        <f t="shared" si="8"/>
        <v>Actif</v>
      </c>
      <c r="AN80" s="2" t="str">
        <f t="shared" ca="1" si="9"/>
        <v>45-59 ans</v>
      </c>
      <c r="AO80" s="2" t="str">
        <f t="shared" si="10"/>
        <v>Fully Meets</v>
      </c>
      <c r="AP80" s="2" t="str">
        <f t="shared" si="11"/>
        <v>FAIBLE</v>
      </c>
    </row>
    <row r="81" spans="1:42">
      <c r="A81" s="2" t="s">
        <v>687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s="2" t="s">
        <v>15</v>
      </c>
      <c r="N81" s="2" t="s">
        <v>16</v>
      </c>
      <c r="O81">
        <v>1749</v>
      </c>
      <c r="P81" s="1">
        <v>26930</v>
      </c>
      <c r="Q81" s="2" t="s">
        <v>44</v>
      </c>
      <c r="R81" s="2" t="s">
        <v>31</v>
      </c>
      <c r="S81" s="2" t="s">
        <v>19</v>
      </c>
      <c r="T81" s="2" t="s">
        <v>20</v>
      </c>
      <c r="U81" s="2" t="s">
        <v>21</v>
      </c>
      <c r="V81" s="1">
        <v>40294</v>
      </c>
      <c r="W81" s="1"/>
      <c r="X81" s="2" t="s">
        <v>22</v>
      </c>
      <c r="Y81" s="2" t="s">
        <v>23</v>
      </c>
      <c r="Z81" s="2" t="s">
        <v>24</v>
      </c>
      <c r="AA81" s="2" t="s">
        <v>68</v>
      </c>
      <c r="AB81">
        <v>19</v>
      </c>
      <c r="AC81" s="2" t="s">
        <v>56</v>
      </c>
      <c r="AD81" s="2" t="s">
        <v>39</v>
      </c>
      <c r="AE81" s="2" t="s">
        <v>261</v>
      </c>
      <c r="AF81">
        <v>3</v>
      </c>
      <c r="AG81">
        <v>0</v>
      </c>
      <c r="AH81" t="s">
        <v>150</v>
      </c>
      <c r="AI81">
        <v>0</v>
      </c>
      <c r="AJ81">
        <v>6</v>
      </c>
      <c r="AK81">
        <f t="shared" ca="1" si="6"/>
        <v>52</v>
      </c>
      <c r="AL81">
        <f t="shared" ca="1" si="7"/>
        <v>15</v>
      </c>
      <c r="AM81" t="str">
        <f t="shared" si="8"/>
        <v>Actif</v>
      </c>
      <c r="AN81" s="2" t="str">
        <f t="shared" ca="1" si="9"/>
        <v>45-59 ans</v>
      </c>
      <c r="AO81" s="2" t="str">
        <f t="shared" si="10"/>
        <v>Fully Meets</v>
      </c>
      <c r="AP81" s="2" t="str">
        <f t="shared" si="11"/>
        <v>FAIBLE</v>
      </c>
    </row>
    <row r="82" spans="1:42">
      <c r="A82" s="2" t="s">
        <v>688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s="2" t="s">
        <v>15</v>
      </c>
      <c r="N82" s="2" t="s">
        <v>16</v>
      </c>
      <c r="O82">
        <v>2343</v>
      </c>
      <c r="P82" s="1">
        <v>33367</v>
      </c>
      <c r="Q82" s="2" t="s">
        <v>44</v>
      </c>
      <c r="R82" s="2" t="s">
        <v>31</v>
      </c>
      <c r="S82" s="2" t="s">
        <v>19</v>
      </c>
      <c r="T82" s="2" t="s">
        <v>20</v>
      </c>
      <c r="U82" s="2" t="s">
        <v>21</v>
      </c>
      <c r="V82" s="1">
        <v>40637</v>
      </c>
      <c r="W82" s="1">
        <v>42892</v>
      </c>
      <c r="X82" s="2" t="s">
        <v>262</v>
      </c>
      <c r="Y82" s="2" t="s">
        <v>35</v>
      </c>
      <c r="Z82" s="2" t="s">
        <v>24</v>
      </c>
      <c r="AA82" s="2" t="s">
        <v>47</v>
      </c>
      <c r="AB82">
        <v>20</v>
      </c>
      <c r="AC82" s="2" t="s">
        <v>56</v>
      </c>
      <c r="AD82" s="2" t="s">
        <v>39</v>
      </c>
      <c r="AE82" s="2" t="s">
        <v>57</v>
      </c>
      <c r="AF82">
        <v>3</v>
      </c>
      <c r="AG82">
        <v>0</v>
      </c>
      <c r="AH82">
        <v>42982</v>
      </c>
      <c r="AI82">
        <v>0</v>
      </c>
      <c r="AJ82">
        <v>7</v>
      </c>
      <c r="AK82">
        <f t="shared" ca="1" si="6"/>
        <v>34</v>
      </c>
      <c r="AL82">
        <f t="shared" ca="1" si="7"/>
        <v>6</v>
      </c>
      <c r="AM82" t="str">
        <f t="shared" si="8"/>
        <v>Volontaire</v>
      </c>
      <c r="AN82" s="2" t="str">
        <f t="shared" ca="1" si="9"/>
        <v>30-44 ans</v>
      </c>
      <c r="AO82" s="2" t="str">
        <f t="shared" si="10"/>
        <v>Fully Meets</v>
      </c>
      <c r="AP82" s="2" t="str">
        <f t="shared" si="11"/>
        <v>FAIBLE</v>
      </c>
    </row>
    <row r="83" spans="1:42">
      <c r="A83" s="2" t="s">
        <v>689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s="2" t="s">
        <v>15</v>
      </c>
      <c r="N83" s="2" t="s">
        <v>16</v>
      </c>
      <c r="O83">
        <v>2026</v>
      </c>
      <c r="P83" s="1">
        <v>27180</v>
      </c>
      <c r="Q83" s="2" t="s">
        <v>17</v>
      </c>
      <c r="R83" s="2" t="s">
        <v>18</v>
      </c>
      <c r="S83" s="2" t="s">
        <v>19</v>
      </c>
      <c r="T83" s="2" t="s">
        <v>20</v>
      </c>
      <c r="U83" s="2" t="s">
        <v>21</v>
      </c>
      <c r="V83" s="1">
        <v>41923</v>
      </c>
      <c r="W83" s="1"/>
      <c r="X83" s="2" t="s">
        <v>22</v>
      </c>
      <c r="Y83" s="2" t="s">
        <v>23</v>
      </c>
      <c r="Z83" s="2" t="s">
        <v>24</v>
      </c>
      <c r="AA83" s="2" t="s">
        <v>93</v>
      </c>
      <c r="AB83">
        <v>18</v>
      </c>
      <c r="AC83" s="2" t="s">
        <v>26</v>
      </c>
      <c r="AD83" s="2" t="s">
        <v>39</v>
      </c>
      <c r="AE83" s="2" t="s">
        <v>192</v>
      </c>
      <c r="AF83">
        <v>5</v>
      </c>
      <c r="AG83">
        <v>0</v>
      </c>
      <c r="AH83" t="s">
        <v>264</v>
      </c>
      <c r="AI83">
        <v>0</v>
      </c>
      <c r="AJ83">
        <v>8</v>
      </c>
      <c r="AK83">
        <f t="shared" ca="1" si="6"/>
        <v>51</v>
      </c>
      <c r="AL83">
        <f t="shared" ca="1" si="7"/>
        <v>11</v>
      </c>
      <c r="AM83" t="str">
        <f t="shared" si="8"/>
        <v>Actif</v>
      </c>
      <c r="AN83" s="2" t="str">
        <f t="shared" ca="1" si="9"/>
        <v>45-59 ans</v>
      </c>
      <c r="AO83" s="2" t="str">
        <f t="shared" si="10"/>
        <v>Fully Meets</v>
      </c>
      <c r="AP83" s="2" t="str">
        <f t="shared" si="11"/>
        <v>FAIBLE</v>
      </c>
    </row>
    <row r="84" spans="1:42">
      <c r="A84" s="2" t="s">
        <v>690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s="2" t="s">
        <v>15</v>
      </c>
      <c r="N84" s="2" t="s">
        <v>16</v>
      </c>
      <c r="O84">
        <v>2045</v>
      </c>
      <c r="P84" s="1">
        <v>28727</v>
      </c>
      <c r="Q84" s="2" t="s">
        <v>17</v>
      </c>
      <c r="R84" s="2" t="s">
        <v>31</v>
      </c>
      <c r="S84" s="2" t="s">
        <v>19</v>
      </c>
      <c r="T84" s="2" t="s">
        <v>20</v>
      </c>
      <c r="U84" s="2" t="s">
        <v>21</v>
      </c>
      <c r="V84" s="1">
        <v>41729</v>
      </c>
      <c r="W84" s="1"/>
      <c r="X84" s="2" t="s">
        <v>22</v>
      </c>
      <c r="Y84" s="2" t="s">
        <v>23</v>
      </c>
      <c r="Z84" s="2" t="s">
        <v>24</v>
      </c>
      <c r="AA84" s="2" t="s">
        <v>93</v>
      </c>
      <c r="AB84">
        <v>18</v>
      </c>
      <c r="AC84" s="2" t="s">
        <v>69</v>
      </c>
      <c r="AD84" s="2" t="s">
        <v>39</v>
      </c>
      <c r="AE84" s="2" t="s">
        <v>82</v>
      </c>
      <c r="AF84">
        <v>3</v>
      </c>
      <c r="AG84">
        <v>0</v>
      </c>
      <c r="AH84">
        <v>43770</v>
      </c>
      <c r="AI84">
        <v>0</v>
      </c>
      <c r="AJ84">
        <v>3</v>
      </c>
      <c r="AK84">
        <f t="shared" ca="1" si="6"/>
        <v>47</v>
      </c>
      <c r="AL84">
        <f t="shared" ca="1" si="7"/>
        <v>12</v>
      </c>
      <c r="AM84" t="str">
        <f t="shared" si="8"/>
        <v>Actif</v>
      </c>
      <c r="AN84" s="2" t="str">
        <f t="shared" ca="1" si="9"/>
        <v>45-59 ans</v>
      </c>
      <c r="AO84" s="2" t="str">
        <f t="shared" si="10"/>
        <v>Fully Meets</v>
      </c>
      <c r="AP84" s="2" t="str">
        <f t="shared" si="11"/>
        <v>FAIBLE</v>
      </c>
    </row>
    <row r="85" spans="1:42">
      <c r="A85" s="2" t="s">
        <v>691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s="2" t="s">
        <v>42</v>
      </c>
      <c r="N85" s="2" t="s">
        <v>16</v>
      </c>
      <c r="O85">
        <v>2133</v>
      </c>
      <c r="P85" s="1">
        <v>32745</v>
      </c>
      <c r="Q85" s="2" t="s">
        <v>44</v>
      </c>
      <c r="R85" s="2" t="s">
        <v>149</v>
      </c>
      <c r="S85" s="2" t="s">
        <v>19</v>
      </c>
      <c r="T85" s="2" t="s">
        <v>20</v>
      </c>
      <c r="U85" s="2" t="s">
        <v>21</v>
      </c>
      <c r="V85" s="1">
        <v>41827</v>
      </c>
      <c r="W85" s="1"/>
      <c r="X85" s="2" t="s">
        <v>22</v>
      </c>
      <c r="Y85" s="2" t="s">
        <v>23</v>
      </c>
      <c r="Z85" s="2" t="s">
        <v>24</v>
      </c>
      <c r="AA85" s="2" t="s">
        <v>25</v>
      </c>
      <c r="AB85">
        <v>22</v>
      </c>
      <c r="AC85" s="2" t="s">
        <v>38</v>
      </c>
      <c r="AD85" s="2" t="s">
        <v>230</v>
      </c>
      <c r="AE85" s="2" t="s">
        <v>181</v>
      </c>
      <c r="AF85">
        <v>1</v>
      </c>
      <c r="AG85">
        <v>0</v>
      </c>
      <c r="AH85" t="s">
        <v>70</v>
      </c>
      <c r="AI85">
        <v>2</v>
      </c>
      <c r="AJ85">
        <v>5</v>
      </c>
      <c r="AK85">
        <f t="shared" ca="1" si="6"/>
        <v>36</v>
      </c>
      <c r="AL85">
        <f t="shared" ca="1" si="7"/>
        <v>11</v>
      </c>
      <c r="AM85" t="str">
        <f t="shared" si="8"/>
        <v>Actif</v>
      </c>
      <c r="AN85" s="2" t="str">
        <f t="shared" ca="1" si="9"/>
        <v>30-44 ans</v>
      </c>
      <c r="AO85" s="2" t="str">
        <f t="shared" si="10"/>
        <v>PIP</v>
      </c>
      <c r="AP85" s="2" t="str">
        <f t="shared" si="11"/>
        <v>FAIBLE</v>
      </c>
    </row>
    <row r="86" spans="1:42">
      <c r="A86" s="2" t="s">
        <v>692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s="2" t="s">
        <v>15</v>
      </c>
      <c r="N86" s="2" t="s">
        <v>16</v>
      </c>
      <c r="O86">
        <v>2129</v>
      </c>
      <c r="P86" s="1">
        <v>30356</v>
      </c>
      <c r="Q86" s="2" t="s">
        <v>17</v>
      </c>
      <c r="R86" s="2" t="s">
        <v>18</v>
      </c>
      <c r="S86" s="2" t="s">
        <v>19</v>
      </c>
      <c r="T86" s="2" t="s">
        <v>20</v>
      </c>
      <c r="U86" s="2" t="s">
        <v>21</v>
      </c>
      <c r="V86" s="1">
        <v>40943</v>
      </c>
      <c r="W86" s="1">
        <v>43370</v>
      </c>
      <c r="X86" s="2" t="s">
        <v>99</v>
      </c>
      <c r="Y86" s="2" t="s">
        <v>100</v>
      </c>
      <c r="Z86" s="2" t="s">
        <v>24</v>
      </c>
      <c r="AA86" s="2" t="s">
        <v>25</v>
      </c>
      <c r="AB86">
        <v>22</v>
      </c>
      <c r="AC86" s="2" t="s">
        <v>56</v>
      </c>
      <c r="AD86" s="2" t="s">
        <v>118</v>
      </c>
      <c r="AE86" s="2" t="s">
        <v>57</v>
      </c>
      <c r="AF86">
        <v>4</v>
      </c>
      <c r="AG86">
        <v>0</v>
      </c>
      <c r="AH86">
        <v>43438</v>
      </c>
      <c r="AI86">
        <v>5</v>
      </c>
      <c r="AJ86">
        <v>16</v>
      </c>
      <c r="AK86">
        <f t="shared" ca="1" si="6"/>
        <v>43</v>
      </c>
      <c r="AL86">
        <f t="shared" ca="1" si="7"/>
        <v>6</v>
      </c>
      <c r="AM86" t="str">
        <f t="shared" si="8"/>
        <v>Involontaire</v>
      </c>
      <c r="AN86" s="2" t="str">
        <f t="shared" ca="1" si="9"/>
        <v>30-44 ans</v>
      </c>
      <c r="AO86" s="2" t="str">
        <f t="shared" si="10"/>
        <v>Needs Improvement</v>
      </c>
      <c r="AP86" s="2" t="str">
        <f t="shared" si="11"/>
        <v>SURVEILLER</v>
      </c>
    </row>
    <row r="87" spans="1:42">
      <c r="A87" s="2" t="s">
        <v>693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s="2" t="s">
        <v>15</v>
      </c>
      <c r="N87" s="2" t="s">
        <v>16</v>
      </c>
      <c r="O87">
        <v>2458</v>
      </c>
      <c r="P87" s="1">
        <v>32664</v>
      </c>
      <c r="Q87" s="2" t="s">
        <v>44</v>
      </c>
      <c r="R87" s="2" t="s">
        <v>18</v>
      </c>
      <c r="S87" s="2" t="s">
        <v>19</v>
      </c>
      <c r="T87" s="2" t="s">
        <v>20</v>
      </c>
      <c r="U87" s="2" t="s">
        <v>21</v>
      </c>
      <c r="V87" s="1">
        <v>41687</v>
      </c>
      <c r="W87" s="1">
        <v>43156</v>
      </c>
      <c r="X87" s="2" t="s">
        <v>269</v>
      </c>
      <c r="Y87" s="2" t="s">
        <v>100</v>
      </c>
      <c r="Z87" s="2" t="s">
        <v>24</v>
      </c>
      <c r="AA87" s="2" t="s">
        <v>51</v>
      </c>
      <c r="AB87">
        <v>16</v>
      </c>
      <c r="AC87" s="2" t="s">
        <v>56</v>
      </c>
      <c r="AD87" s="2" t="s">
        <v>118</v>
      </c>
      <c r="AE87" s="2" t="s">
        <v>245</v>
      </c>
      <c r="AF87">
        <v>3</v>
      </c>
      <c r="AG87">
        <v>0</v>
      </c>
      <c r="AH87" t="s">
        <v>270</v>
      </c>
      <c r="AI87">
        <v>5</v>
      </c>
      <c r="AJ87">
        <v>19</v>
      </c>
      <c r="AK87">
        <f t="shared" ca="1" si="6"/>
        <v>36</v>
      </c>
      <c r="AL87">
        <f t="shared" ca="1" si="7"/>
        <v>4</v>
      </c>
      <c r="AM87" t="str">
        <f t="shared" si="8"/>
        <v>Involontaire</v>
      </c>
      <c r="AN87" s="2" t="str">
        <f t="shared" ca="1" si="9"/>
        <v>30-44 ans</v>
      </c>
      <c r="AO87" s="2" t="str">
        <f t="shared" si="10"/>
        <v>Needs Improvement</v>
      </c>
      <c r="AP87" s="2" t="str">
        <f t="shared" si="11"/>
        <v>SURVEILLER</v>
      </c>
    </row>
    <row r="88" spans="1:42">
      <c r="A88" s="2" t="s">
        <v>694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s="2" t="s">
        <v>60</v>
      </c>
      <c r="N88" s="2" t="s">
        <v>16</v>
      </c>
      <c r="O88">
        <v>1749</v>
      </c>
      <c r="P88" s="1">
        <v>31912</v>
      </c>
      <c r="Q88" s="2" t="s">
        <v>44</v>
      </c>
      <c r="R88" s="2" t="s">
        <v>31</v>
      </c>
      <c r="S88" s="2" t="s">
        <v>19</v>
      </c>
      <c r="T88" s="2" t="s">
        <v>20</v>
      </c>
      <c r="U88" s="2" t="s">
        <v>71</v>
      </c>
      <c r="V88" s="1">
        <v>40579</v>
      </c>
      <c r="W88" s="1">
        <v>41400</v>
      </c>
      <c r="X88" s="2" t="s">
        <v>99</v>
      </c>
      <c r="Y88" s="2" t="s">
        <v>100</v>
      </c>
      <c r="Z88" s="2" t="s">
        <v>62</v>
      </c>
      <c r="AA88" s="2" t="s">
        <v>63</v>
      </c>
      <c r="AB88">
        <v>10</v>
      </c>
      <c r="AC88" s="2" t="s">
        <v>38</v>
      </c>
      <c r="AD88" s="2" t="s">
        <v>118</v>
      </c>
      <c r="AE88" s="2" t="s">
        <v>272</v>
      </c>
      <c r="AF88">
        <v>5</v>
      </c>
      <c r="AG88">
        <v>4</v>
      </c>
      <c r="AH88">
        <v>41190</v>
      </c>
      <c r="AI88">
        <v>4</v>
      </c>
      <c r="AJ88">
        <v>19</v>
      </c>
      <c r="AK88">
        <f t="shared" ca="1" si="6"/>
        <v>38</v>
      </c>
      <c r="AL88">
        <f t="shared" ca="1" si="7"/>
        <v>2</v>
      </c>
      <c r="AM88" t="str">
        <f t="shared" si="8"/>
        <v>Involontaire</v>
      </c>
      <c r="AN88" s="2" t="str">
        <f t="shared" ca="1" si="9"/>
        <v>30-44 ans</v>
      </c>
      <c r="AO88" s="2" t="str">
        <f t="shared" si="10"/>
        <v>Needs Improvement</v>
      </c>
      <c r="AP88" s="2" t="str">
        <f t="shared" si="11"/>
        <v>SURVEILLER</v>
      </c>
    </row>
    <row r="89" spans="1:42">
      <c r="A89" s="2" t="s">
        <v>695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s="2" t="s">
        <v>42</v>
      </c>
      <c r="N89" s="2" t="s">
        <v>16</v>
      </c>
      <c r="O89">
        <v>1824</v>
      </c>
      <c r="P89" s="1">
        <v>28755</v>
      </c>
      <c r="Q89" s="2" t="s">
        <v>44</v>
      </c>
      <c r="R89" s="2" t="s">
        <v>31</v>
      </c>
      <c r="S89" s="2" t="s">
        <v>19</v>
      </c>
      <c r="T89" s="2" t="s">
        <v>20</v>
      </c>
      <c r="U89" s="2" t="s">
        <v>71</v>
      </c>
      <c r="V89" s="1">
        <v>41827</v>
      </c>
      <c r="W89" s="1"/>
      <c r="X89" s="2" t="s">
        <v>22</v>
      </c>
      <c r="Y89" s="2" t="s">
        <v>23</v>
      </c>
      <c r="Z89" s="2" t="s">
        <v>24</v>
      </c>
      <c r="AA89" s="2" t="s">
        <v>51</v>
      </c>
      <c r="AB89">
        <v>16</v>
      </c>
      <c r="AC89" s="2" t="s">
        <v>26</v>
      </c>
      <c r="AD89" s="2" t="s">
        <v>39</v>
      </c>
      <c r="AE89" s="2" t="s">
        <v>103</v>
      </c>
      <c r="AF89">
        <v>5</v>
      </c>
      <c r="AG89">
        <v>0</v>
      </c>
      <c r="AH89" t="s">
        <v>166</v>
      </c>
      <c r="AI89">
        <v>0</v>
      </c>
      <c r="AJ89">
        <v>17</v>
      </c>
      <c r="AK89">
        <f t="shared" ca="1" si="6"/>
        <v>47</v>
      </c>
      <c r="AL89">
        <f t="shared" ca="1" si="7"/>
        <v>11</v>
      </c>
      <c r="AM89" t="str">
        <f t="shared" si="8"/>
        <v>Actif</v>
      </c>
      <c r="AN89" s="2" t="str">
        <f t="shared" ca="1" si="9"/>
        <v>45-59 ans</v>
      </c>
      <c r="AO89" s="2" t="str">
        <f t="shared" si="10"/>
        <v>Fully Meets</v>
      </c>
      <c r="AP89" s="2" t="str">
        <f t="shared" si="11"/>
        <v>SURVEILLER</v>
      </c>
    </row>
    <row r="90" spans="1:42">
      <c r="A90" s="2" t="s">
        <v>696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s="2" t="s">
        <v>42</v>
      </c>
      <c r="N90" s="2" t="s">
        <v>16</v>
      </c>
      <c r="O90">
        <v>2324</v>
      </c>
      <c r="P90" s="1">
        <v>32047</v>
      </c>
      <c r="Q90" s="2" t="s">
        <v>44</v>
      </c>
      <c r="R90" s="2" t="s">
        <v>18</v>
      </c>
      <c r="S90" s="2" t="s">
        <v>19</v>
      </c>
      <c r="T90" s="2" t="s">
        <v>20</v>
      </c>
      <c r="U90" s="2" t="s">
        <v>71</v>
      </c>
      <c r="V90" s="1">
        <v>41687</v>
      </c>
      <c r="W90" s="1"/>
      <c r="X90" s="2" t="s">
        <v>22</v>
      </c>
      <c r="Y90" s="2" t="s">
        <v>23</v>
      </c>
      <c r="Z90" s="2" t="s">
        <v>24</v>
      </c>
      <c r="AA90" s="2" t="s">
        <v>55</v>
      </c>
      <c r="AC90" s="2" t="s">
        <v>26</v>
      </c>
      <c r="AD90" s="2" t="s">
        <v>39</v>
      </c>
      <c r="AE90" s="2" t="s">
        <v>275</v>
      </c>
      <c r="AF90">
        <v>4</v>
      </c>
      <c r="AG90">
        <v>0</v>
      </c>
      <c r="AH90">
        <v>43647</v>
      </c>
      <c r="AI90">
        <v>0</v>
      </c>
      <c r="AJ90">
        <v>7</v>
      </c>
      <c r="AK90">
        <f t="shared" ca="1" si="6"/>
        <v>38</v>
      </c>
      <c r="AL90">
        <f t="shared" ca="1" si="7"/>
        <v>12</v>
      </c>
      <c r="AM90" t="str">
        <f t="shared" si="8"/>
        <v>Actif</v>
      </c>
      <c r="AN90" s="2" t="str">
        <f t="shared" ca="1" si="9"/>
        <v>30-44 ans</v>
      </c>
      <c r="AO90" s="2" t="str">
        <f t="shared" si="10"/>
        <v>Fully Meets</v>
      </c>
      <c r="AP90" s="2" t="str">
        <f t="shared" si="11"/>
        <v>FAIBLE</v>
      </c>
    </row>
    <row r="91" spans="1:42">
      <c r="A91" s="2" t="s">
        <v>697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s="2" t="s">
        <v>15</v>
      </c>
      <c r="N91" s="2" t="s">
        <v>16</v>
      </c>
      <c r="O91">
        <v>2176</v>
      </c>
      <c r="P91" s="1">
        <v>20193</v>
      </c>
      <c r="Q91" s="2" t="s">
        <v>44</v>
      </c>
      <c r="R91" s="2" t="s">
        <v>31</v>
      </c>
      <c r="S91" s="2" t="s">
        <v>19</v>
      </c>
      <c r="T91" s="2" t="s">
        <v>20</v>
      </c>
      <c r="U91" s="2" t="s">
        <v>21</v>
      </c>
      <c r="V91" s="1">
        <v>40735</v>
      </c>
      <c r="W91" s="1">
        <v>42507</v>
      </c>
      <c r="X91" s="2" t="s">
        <v>262</v>
      </c>
      <c r="Y91" s="2" t="s">
        <v>35</v>
      </c>
      <c r="Z91" s="2" t="s">
        <v>24</v>
      </c>
      <c r="AA91" s="2" t="s">
        <v>55</v>
      </c>
      <c r="AB91">
        <v>39</v>
      </c>
      <c r="AC91" s="2" t="s">
        <v>56</v>
      </c>
      <c r="AD91" s="2" t="s">
        <v>39</v>
      </c>
      <c r="AE91" s="2" t="s">
        <v>278</v>
      </c>
      <c r="AF91">
        <v>3</v>
      </c>
      <c r="AG91">
        <v>0</v>
      </c>
      <c r="AH91">
        <v>42462</v>
      </c>
      <c r="AI91">
        <v>0</v>
      </c>
      <c r="AJ91">
        <v>16</v>
      </c>
      <c r="AK91">
        <f t="shared" ca="1" si="6"/>
        <v>70</v>
      </c>
      <c r="AL91">
        <f t="shared" ca="1" si="7"/>
        <v>4</v>
      </c>
      <c r="AM91" t="str">
        <f t="shared" si="8"/>
        <v>Volontaire</v>
      </c>
      <c r="AN91" s="2" t="str">
        <f t="shared" ca="1" si="9"/>
        <v>60 ans et plus</v>
      </c>
      <c r="AO91" s="2" t="str">
        <f t="shared" si="10"/>
        <v>Fully Meets</v>
      </c>
      <c r="AP91" s="2" t="str">
        <f t="shared" si="11"/>
        <v>SURVEILLER</v>
      </c>
    </row>
    <row r="92" spans="1:42">
      <c r="A92" s="2" t="s">
        <v>698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s="2" t="s">
        <v>15</v>
      </c>
      <c r="N92" s="2" t="s">
        <v>16</v>
      </c>
      <c r="O92">
        <v>2132</v>
      </c>
      <c r="P92" s="1">
        <v>32799</v>
      </c>
      <c r="Q92" s="2" t="s">
        <v>17</v>
      </c>
      <c r="R92" s="2" t="s">
        <v>31</v>
      </c>
      <c r="S92" s="2" t="s">
        <v>19</v>
      </c>
      <c r="T92" s="2" t="s">
        <v>20</v>
      </c>
      <c r="U92" s="2" t="s">
        <v>21</v>
      </c>
      <c r="V92" s="1">
        <v>42313</v>
      </c>
      <c r="W92" s="1"/>
      <c r="X92" s="2" t="s">
        <v>22</v>
      </c>
      <c r="Y92" s="2" t="s">
        <v>23</v>
      </c>
      <c r="Z92" s="2" t="s">
        <v>24</v>
      </c>
      <c r="AA92" s="2" t="s">
        <v>59</v>
      </c>
      <c r="AB92">
        <v>11</v>
      </c>
      <c r="AC92" s="2" t="s">
        <v>38</v>
      </c>
      <c r="AD92" s="2" t="s">
        <v>230</v>
      </c>
      <c r="AE92" s="2" t="s">
        <v>280</v>
      </c>
      <c r="AF92">
        <v>5</v>
      </c>
      <c r="AG92">
        <v>0</v>
      </c>
      <c r="AH92">
        <v>43525</v>
      </c>
      <c r="AI92">
        <v>6</v>
      </c>
      <c r="AJ92">
        <v>15</v>
      </c>
      <c r="AK92">
        <f t="shared" ca="1" si="6"/>
        <v>36</v>
      </c>
      <c r="AL92">
        <f t="shared" ca="1" si="7"/>
        <v>10</v>
      </c>
      <c r="AM92" t="str">
        <f t="shared" si="8"/>
        <v>Actif</v>
      </c>
      <c r="AN92" s="2" t="str">
        <f t="shared" ca="1" si="9"/>
        <v>30-44 ans</v>
      </c>
      <c r="AO92" s="2" t="str">
        <f t="shared" si="10"/>
        <v>PIP</v>
      </c>
      <c r="AP92" s="2" t="str">
        <f t="shared" si="11"/>
        <v>SURVEILLER</v>
      </c>
    </row>
    <row r="93" spans="1:42">
      <c r="A93" s="2" t="s">
        <v>699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s="2" t="s">
        <v>281</v>
      </c>
      <c r="N93" s="2" t="s">
        <v>16</v>
      </c>
      <c r="O93">
        <v>2138</v>
      </c>
      <c r="P93" s="1">
        <v>31946</v>
      </c>
      <c r="Q93" s="2" t="s">
        <v>17</v>
      </c>
      <c r="R93" s="2" t="s">
        <v>18</v>
      </c>
      <c r="S93" s="2" t="s">
        <v>19</v>
      </c>
      <c r="T93" s="2" t="s">
        <v>20</v>
      </c>
      <c r="U93" s="2" t="s">
        <v>21</v>
      </c>
      <c r="V93" s="1">
        <v>42093</v>
      </c>
      <c r="W93" s="1"/>
      <c r="X93" s="2" t="s">
        <v>22</v>
      </c>
      <c r="Y93" s="2" t="s">
        <v>23</v>
      </c>
      <c r="Z93" s="2" t="s">
        <v>36</v>
      </c>
      <c r="AA93" s="2" t="s">
        <v>77</v>
      </c>
      <c r="AB93">
        <v>7</v>
      </c>
      <c r="AC93" s="2" t="s">
        <v>26</v>
      </c>
      <c r="AD93" s="2" t="s">
        <v>230</v>
      </c>
      <c r="AE93" s="2" t="s">
        <v>283</v>
      </c>
      <c r="AF93">
        <v>3</v>
      </c>
      <c r="AG93">
        <v>6</v>
      </c>
      <c r="AH93">
        <v>43557</v>
      </c>
      <c r="AI93">
        <v>3</v>
      </c>
      <c r="AJ93">
        <v>2</v>
      </c>
      <c r="AK93">
        <f t="shared" ca="1" si="6"/>
        <v>38</v>
      </c>
      <c r="AL93">
        <f t="shared" ca="1" si="7"/>
        <v>11</v>
      </c>
      <c r="AM93" t="str">
        <f t="shared" si="8"/>
        <v>Actif</v>
      </c>
      <c r="AN93" s="2" t="str">
        <f t="shared" ca="1" si="9"/>
        <v>30-44 ans</v>
      </c>
      <c r="AO93" s="2" t="str">
        <f t="shared" si="10"/>
        <v>PIP</v>
      </c>
      <c r="AP93" s="2" t="str">
        <f t="shared" si="11"/>
        <v>FAIBLE</v>
      </c>
    </row>
    <row r="94" spans="1:42">
      <c r="A94" s="2" t="s">
        <v>700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s="2" t="s">
        <v>15</v>
      </c>
      <c r="N94" s="2" t="s">
        <v>16</v>
      </c>
      <c r="O94">
        <v>2155</v>
      </c>
      <c r="P94" s="1">
        <v>29661</v>
      </c>
      <c r="Q94" s="2" t="s">
        <v>44</v>
      </c>
      <c r="R94" s="2" t="s">
        <v>31</v>
      </c>
      <c r="S94" s="2" t="s">
        <v>19</v>
      </c>
      <c r="T94" s="2" t="s">
        <v>20</v>
      </c>
      <c r="U94" s="2" t="s">
        <v>21</v>
      </c>
      <c r="V94" s="1">
        <v>41153</v>
      </c>
      <c r="W94" s="1"/>
      <c r="X94" s="2" t="s">
        <v>22</v>
      </c>
      <c r="Y94" s="2" t="s">
        <v>23</v>
      </c>
      <c r="Z94" s="2" t="s">
        <v>24</v>
      </c>
      <c r="AA94" s="2" t="s">
        <v>72</v>
      </c>
      <c r="AB94">
        <v>12</v>
      </c>
      <c r="AC94" s="2" t="s">
        <v>56</v>
      </c>
      <c r="AD94" s="2" t="s">
        <v>39</v>
      </c>
      <c r="AE94" s="2" t="s">
        <v>57</v>
      </c>
      <c r="AF94">
        <v>5</v>
      </c>
      <c r="AG94">
        <v>0</v>
      </c>
      <c r="AH94" t="s">
        <v>246</v>
      </c>
      <c r="AI94">
        <v>0</v>
      </c>
      <c r="AJ94">
        <v>19</v>
      </c>
      <c r="AK94">
        <f t="shared" ca="1" si="6"/>
        <v>45</v>
      </c>
      <c r="AL94">
        <f t="shared" ca="1" si="7"/>
        <v>13</v>
      </c>
      <c r="AM94" t="str">
        <f t="shared" si="8"/>
        <v>Actif</v>
      </c>
      <c r="AN94" s="2" t="str">
        <f t="shared" ca="1" si="9"/>
        <v>45-59 ans</v>
      </c>
      <c r="AO94" s="2" t="str">
        <f t="shared" si="10"/>
        <v>Fully Meets</v>
      </c>
      <c r="AP94" s="2" t="str">
        <f t="shared" si="11"/>
        <v>SURVEILLER</v>
      </c>
    </row>
    <row r="95" spans="1:42">
      <c r="A95" s="2" t="s">
        <v>701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s="2" t="s">
        <v>42</v>
      </c>
      <c r="N95" s="2" t="s">
        <v>16</v>
      </c>
      <c r="O95">
        <v>2143</v>
      </c>
      <c r="P95" s="1">
        <v>29596</v>
      </c>
      <c r="Q95" s="2" t="s">
        <v>17</v>
      </c>
      <c r="R95" s="2" t="s">
        <v>18</v>
      </c>
      <c r="S95" s="2" t="s">
        <v>19</v>
      </c>
      <c r="T95" s="2" t="s">
        <v>79</v>
      </c>
      <c r="U95" s="2" t="s">
        <v>21</v>
      </c>
      <c r="V95" s="1">
        <v>40679</v>
      </c>
      <c r="W95" s="1">
        <v>41449</v>
      </c>
      <c r="X95" s="2" t="s">
        <v>46</v>
      </c>
      <c r="Y95" s="2" t="s">
        <v>35</v>
      </c>
      <c r="Z95" s="2" t="s">
        <v>24</v>
      </c>
      <c r="AA95" s="2" t="s">
        <v>59</v>
      </c>
      <c r="AB95">
        <v>11</v>
      </c>
      <c r="AC95" s="2" t="s">
        <v>56</v>
      </c>
      <c r="AD95" s="2" t="s">
        <v>39</v>
      </c>
      <c r="AE95" s="2" t="s">
        <v>286</v>
      </c>
      <c r="AF95">
        <v>5</v>
      </c>
      <c r="AG95">
        <v>0</v>
      </c>
      <c r="AH95">
        <v>41398</v>
      </c>
      <c r="AI95">
        <v>0</v>
      </c>
      <c r="AJ95">
        <v>20</v>
      </c>
      <c r="AK95">
        <f t="shared" ca="1" si="6"/>
        <v>45</v>
      </c>
      <c r="AL95">
        <f t="shared" ca="1" si="7"/>
        <v>2</v>
      </c>
      <c r="AM95" t="str">
        <f t="shared" si="8"/>
        <v>Involontaire</v>
      </c>
      <c r="AN95" s="2" t="str">
        <f t="shared" ca="1" si="9"/>
        <v>45-59 ans</v>
      </c>
      <c r="AO95" s="2" t="str">
        <f t="shared" si="10"/>
        <v>Fully Meets</v>
      </c>
      <c r="AP95" s="2" t="str">
        <f t="shared" si="11"/>
        <v>SURVEILLER</v>
      </c>
    </row>
    <row r="96" spans="1:42">
      <c r="A96" s="2" t="s">
        <v>702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s="2" t="s">
        <v>42</v>
      </c>
      <c r="N96" s="2" t="s">
        <v>16</v>
      </c>
      <c r="O96">
        <v>2170</v>
      </c>
      <c r="P96" s="1">
        <v>30539</v>
      </c>
      <c r="Q96" s="2" t="s">
        <v>44</v>
      </c>
      <c r="R96" s="2" t="s">
        <v>31</v>
      </c>
      <c r="S96" s="2" t="s">
        <v>19</v>
      </c>
      <c r="T96" s="2" t="s">
        <v>20</v>
      </c>
      <c r="U96" s="2" t="s">
        <v>21</v>
      </c>
      <c r="V96" s="1">
        <v>40637</v>
      </c>
      <c r="W96" s="1">
        <v>41518</v>
      </c>
      <c r="X96" s="2" t="s">
        <v>34</v>
      </c>
      <c r="Y96" s="2" t="s">
        <v>35</v>
      </c>
      <c r="Z96" s="2" t="s">
        <v>24</v>
      </c>
      <c r="AA96" s="2" t="s">
        <v>68</v>
      </c>
      <c r="AB96">
        <v>19</v>
      </c>
      <c r="AC96" s="2" t="s">
        <v>56</v>
      </c>
      <c r="AD96" s="2" t="s">
        <v>39</v>
      </c>
      <c r="AE96" s="2" t="s">
        <v>287</v>
      </c>
      <c r="AF96">
        <v>3</v>
      </c>
      <c r="AG96">
        <v>0</v>
      </c>
      <c r="AH96">
        <v>41091</v>
      </c>
      <c r="AI96">
        <v>0</v>
      </c>
      <c r="AJ96">
        <v>6</v>
      </c>
      <c r="AK96">
        <f t="shared" ca="1" si="6"/>
        <v>42</v>
      </c>
      <c r="AL96">
        <f t="shared" ca="1" si="7"/>
        <v>2</v>
      </c>
      <c r="AM96" t="str">
        <f t="shared" si="8"/>
        <v>Volontaire</v>
      </c>
      <c r="AN96" s="2" t="str">
        <f t="shared" ca="1" si="9"/>
        <v>30-44 ans</v>
      </c>
      <c r="AO96" s="2" t="str">
        <f t="shared" si="10"/>
        <v>Fully Meets</v>
      </c>
      <c r="AP96" s="2" t="str">
        <f t="shared" si="11"/>
        <v>FAIBLE</v>
      </c>
    </row>
    <row r="97" spans="1:42">
      <c r="A97" s="2" t="s">
        <v>703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s="2" t="s">
        <v>151</v>
      </c>
      <c r="N97" s="2" t="s">
        <v>16</v>
      </c>
      <c r="O97">
        <v>2330</v>
      </c>
      <c r="P97" s="1">
        <v>27582</v>
      </c>
      <c r="Q97" s="2" t="s">
        <v>17</v>
      </c>
      <c r="R97" s="2" t="s">
        <v>31</v>
      </c>
      <c r="S97" s="2" t="s">
        <v>19</v>
      </c>
      <c r="T97" s="2" t="s">
        <v>20</v>
      </c>
      <c r="U97" s="2" t="s">
        <v>21</v>
      </c>
      <c r="V97" s="1">
        <v>41911</v>
      </c>
      <c r="W97" s="1">
        <v>43331</v>
      </c>
      <c r="X97" s="2" t="s">
        <v>289</v>
      </c>
      <c r="Y97" s="2" t="s">
        <v>100</v>
      </c>
      <c r="Z97" s="2" t="s">
        <v>154</v>
      </c>
      <c r="AA97" s="2" t="s">
        <v>180</v>
      </c>
      <c r="AB97">
        <v>21</v>
      </c>
      <c r="AC97" s="2" t="s">
        <v>69</v>
      </c>
      <c r="AD97" s="2" t="s">
        <v>230</v>
      </c>
      <c r="AE97" s="2" t="s">
        <v>119</v>
      </c>
      <c r="AF97">
        <v>5</v>
      </c>
      <c r="AG97">
        <v>0</v>
      </c>
      <c r="AH97" t="s">
        <v>213</v>
      </c>
      <c r="AI97">
        <v>4</v>
      </c>
      <c r="AJ97">
        <v>7</v>
      </c>
      <c r="AK97">
        <f t="shared" ca="1" si="6"/>
        <v>50</v>
      </c>
      <c r="AL97">
        <f t="shared" ca="1" si="7"/>
        <v>3</v>
      </c>
      <c r="AM97" t="str">
        <f t="shared" si="8"/>
        <v>Involontaire</v>
      </c>
      <c r="AN97" s="2" t="str">
        <f t="shared" ca="1" si="9"/>
        <v>45-59 ans</v>
      </c>
      <c r="AO97" s="2" t="str">
        <f t="shared" si="10"/>
        <v>Fully Meets</v>
      </c>
      <c r="AP97" s="2" t="str">
        <f t="shared" si="11"/>
        <v>FAIBLE</v>
      </c>
    </row>
    <row r="98" spans="1:42">
      <c r="A98" s="2" t="s">
        <v>704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s="2" t="s">
        <v>290</v>
      </c>
      <c r="N98" s="2" t="s">
        <v>16</v>
      </c>
      <c r="O98">
        <v>1460</v>
      </c>
      <c r="P98" s="1">
        <v>29348</v>
      </c>
      <c r="Q98" s="2" t="s">
        <v>17</v>
      </c>
      <c r="R98" s="2" t="s">
        <v>18</v>
      </c>
      <c r="S98" s="2" t="s">
        <v>19</v>
      </c>
      <c r="T98" s="2" t="s">
        <v>20</v>
      </c>
      <c r="U98" s="2" t="s">
        <v>71</v>
      </c>
      <c r="V98" s="1">
        <v>40648</v>
      </c>
      <c r="W98" s="1"/>
      <c r="X98" s="2" t="s">
        <v>22</v>
      </c>
      <c r="Y98" s="2" t="s">
        <v>23</v>
      </c>
      <c r="Z98" s="2" t="s">
        <v>36</v>
      </c>
      <c r="AA98" s="2" t="s">
        <v>163</v>
      </c>
      <c r="AB98">
        <v>5</v>
      </c>
      <c r="AC98" s="2" t="s">
        <v>38</v>
      </c>
      <c r="AD98" s="2" t="s">
        <v>27</v>
      </c>
      <c r="AE98" s="2" t="s">
        <v>57</v>
      </c>
      <c r="AF98">
        <v>5</v>
      </c>
      <c r="AG98">
        <v>5</v>
      </c>
      <c r="AH98">
        <v>43647</v>
      </c>
      <c r="AI98">
        <v>0</v>
      </c>
      <c r="AJ98">
        <v>15</v>
      </c>
      <c r="AK98">
        <f t="shared" ca="1" si="6"/>
        <v>45</v>
      </c>
      <c r="AL98">
        <f t="shared" ca="1" si="7"/>
        <v>14</v>
      </c>
      <c r="AM98" t="str">
        <f t="shared" si="8"/>
        <v>Actif</v>
      </c>
      <c r="AN98" s="2" t="str">
        <f t="shared" ca="1" si="9"/>
        <v>45-59 ans</v>
      </c>
      <c r="AO98" s="2" t="str">
        <f t="shared" si="10"/>
        <v>Exceeds</v>
      </c>
      <c r="AP98" s="2" t="str">
        <f t="shared" si="11"/>
        <v>SURVEILLER</v>
      </c>
    </row>
    <row r="99" spans="1:42">
      <c r="A99" s="2" t="s">
        <v>705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s="2" t="s">
        <v>129</v>
      </c>
      <c r="N99" s="2" t="s">
        <v>16</v>
      </c>
      <c r="O99">
        <v>2050</v>
      </c>
      <c r="P99" s="1">
        <v>28961</v>
      </c>
      <c r="Q99" s="2" t="s">
        <v>44</v>
      </c>
      <c r="R99" s="2" t="s">
        <v>31</v>
      </c>
      <c r="S99" s="2" t="s">
        <v>19</v>
      </c>
      <c r="T99" s="2" t="s">
        <v>293</v>
      </c>
      <c r="U99" s="2" t="s">
        <v>21</v>
      </c>
      <c r="V99" s="1">
        <v>39934</v>
      </c>
      <c r="W99" s="1"/>
      <c r="X99" s="2" t="s">
        <v>22</v>
      </c>
      <c r="Y99" s="2" t="s">
        <v>23</v>
      </c>
      <c r="Z99" s="2" t="s">
        <v>131</v>
      </c>
      <c r="AA99" s="2" t="s">
        <v>294</v>
      </c>
      <c r="AB99">
        <v>9</v>
      </c>
      <c r="AC99" s="2" t="s">
        <v>295</v>
      </c>
      <c r="AD99" s="2" t="s">
        <v>39</v>
      </c>
      <c r="AE99" s="2" t="s">
        <v>57</v>
      </c>
      <c r="AF99">
        <v>3</v>
      </c>
      <c r="AG99">
        <v>2</v>
      </c>
      <c r="AH99">
        <v>43679</v>
      </c>
      <c r="AI99">
        <v>0</v>
      </c>
      <c r="AJ99">
        <v>3</v>
      </c>
      <c r="AK99">
        <f t="shared" ca="1" si="6"/>
        <v>46</v>
      </c>
      <c r="AL99">
        <f t="shared" ca="1" si="7"/>
        <v>16</v>
      </c>
      <c r="AM99" t="str">
        <f t="shared" si="8"/>
        <v>Actif</v>
      </c>
      <c r="AN99" s="2" t="str">
        <f t="shared" ca="1" si="9"/>
        <v>45-59 ans</v>
      </c>
      <c r="AO99" s="2" t="str">
        <f t="shared" si="10"/>
        <v>Fully Meets</v>
      </c>
      <c r="AP99" s="2" t="str">
        <f t="shared" si="11"/>
        <v>FAIBLE</v>
      </c>
    </row>
    <row r="100" spans="1:42">
      <c r="A100" s="2" t="s">
        <v>706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s="2" t="s">
        <v>151</v>
      </c>
      <c r="N100" s="2" t="s">
        <v>123</v>
      </c>
      <c r="O100">
        <v>6050</v>
      </c>
      <c r="P100" s="1">
        <v>23251</v>
      </c>
      <c r="Q100" s="2" t="s">
        <v>17</v>
      </c>
      <c r="R100" s="2" t="s">
        <v>18</v>
      </c>
      <c r="S100" s="2" t="s">
        <v>19</v>
      </c>
      <c r="T100" s="2" t="s">
        <v>20</v>
      </c>
      <c r="U100" s="2" t="s">
        <v>71</v>
      </c>
      <c r="V100" s="1">
        <v>40703</v>
      </c>
      <c r="W100" s="1"/>
      <c r="X100" s="2" t="s">
        <v>22</v>
      </c>
      <c r="Y100" s="2" t="s">
        <v>23</v>
      </c>
      <c r="Z100" s="2" t="s">
        <v>154</v>
      </c>
      <c r="AA100" s="2" t="s">
        <v>180</v>
      </c>
      <c r="AB100">
        <v>21</v>
      </c>
      <c r="AC100" s="2" t="s">
        <v>117</v>
      </c>
      <c r="AD100" s="2" t="s">
        <v>39</v>
      </c>
      <c r="AE100" s="2" t="s">
        <v>187</v>
      </c>
      <c r="AF100">
        <v>3</v>
      </c>
      <c r="AG100">
        <v>0</v>
      </c>
      <c r="AH100" t="s">
        <v>255</v>
      </c>
      <c r="AI100">
        <v>2</v>
      </c>
      <c r="AJ100">
        <v>7</v>
      </c>
      <c r="AK100">
        <f t="shared" ca="1" si="6"/>
        <v>62</v>
      </c>
      <c r="AL100">
        <f t="shared" ca="1" si="7"/>
        <v>14</v>
      </c>
      <c r="AM100" t="str">
        <f t="shared" si="8"/>
        <v>Actif</v>
      </c>
      <c r="AN100" s="2" t="str">
        <f t="shared" ca="1" si="9"/>
        <v>60 ans et plus</v>
      </c>
      <c r="AO100" s="2" t="str">
        <f t="shared" si="10"/>
        <v>Fully Meets</v>
      </c>
      <c r="AP100" s="2" t="str">
        <f t="shared" si="11"/>
        <v>FAIBLE</v>
      </c>
    </row>
    <row r="101" spans="1:42">
      <c r="A101" s="2" t="s">
        <v>707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s="2" t="s">
        <v>76</v>
      </c>
      <c r="N101" s="2" t="s">
        <v>123</v>
      </c>
      <c r="O101">
        <v>6040</v>
      </c>
      <c r="P101" s="1">
        <v>24996</v>
      </c>
      <c r="Q101" s="2" t="s">
        <v>44</v>
      </c>
      <c r="R101" s="2" t="s">
        <v>18</v>
      </c>
      <c r="S101" s="2" t="s">
        <v>19</v>
      </c>
      <c r="T101" s="2" t="s">
        <v>20</v>
      </c>
      <c r="U101" s="2" t="s">
        <v>21</v>
      </c>
      <c r="V101" s="1">
        <v>40183</v>
      </c>
      <c r="W101" s="1"/>
      <c r="X101" s="2" t="s">
        <v>22</v>
      </c>
      <c r="Y101" s="2" t="s">
        <v>23</v>
      </c>
      <c r="Z101" s="2" t="s">
        <v>36</v>
      </c>
      <c r="AA101" s="2" t="s">
        <v>191</v>
      </c>
      <c r="AB101">
        <v>6</v>
      </c>
      <c r="AC101" s="2" t="s">
        <v>26</v>
      </c>
      <c r="AD101" s="2" t="s">
        <v>39</v>
      </c>
      <c r="AE101" s="2" t="s">
        <v>192</v>
      </c>
      <c r="AF101">
        <v>4</v>
      </c>
      <c r="AG101">
        <v>5</v>
      </c>
      <c r="AH101">
        <v>43467</v>
      </c>
      <c r="AI101">
        <v>0</v>
      </c>
      <c r="AJ101">
        <v>1</v>
      </c>
      <c r="AK101">
        <f t="shared" ca="1" si="6"/>
        <v>57</v>
      </c>
      <c r="AL101">
        <f t="shared" ca="1" si="7"/>
        <v>16</v>
      </c>
      <c r="AM101" t="str">
        <f t="shared" si="8"/>
        <v>Actif</v>
      </c>
      <c r="AN101" s="2" t="str">
        <f t="shared" ca="1" si="9"/>
        <v>45-59 ans</v>
      </c>
      <c r="AO101" s="2" t="str">
        <f t="shared" si="10"/>
        <v>Fully Meets</v>
      </c>
      <c r="AP101" s="2" t="str">
        <f t="shared" si="11"/>
        <v>FAIBLE</v>
      </c>
    </row>
    <row r="102" spans="1:42">
      <c r="A102" s="2" t="s">
        <v>708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s="2" t="s">
        <v>15</v>
      </c>
      <c r="N102" s="2" t="s">
        <v>16</v>
      </c>
      <c r="O102">
        <v>1905</v>
      </c>
      <c r="P102" s="1">
        <v>31305</v>
      </c>
      <c r="Q102" s="2" t="s">
        <v>17</v>
      </c>
      <c r="R102" s="2" t="s">
        <v>18</v>
      </c>
      <c r="S102" s="2" t="s">
        <v>19</v>
      </c>
      <c r="T102" s="2" t="s">
        <v>79</v>
      </c>
      <c r="U102" s="2" t="s">
        <v>21</v>
      </c>
      <c r="V102" s="1">
        <v>42093</v>
      </c>
      <c r="W102" s="1"/>
      <c r="X102" s="2" t="s">
        <v>22</v>
      </c>
      <c r="Y102" s="2" t="s">
        <v>23</v>
      </c>
      <c r="Z102" s="2" t="s">
        <v>24</v>
      </c>
      <c r="AA102" s="2" t="s">
        <v>81</v>
      </c>
      <c r="AB102">
        <v>14</v>
      </c>
      <c r="AC102" s="2" t="s">
        <v>69</v>
      </c>
      <c r="AD102" s="2" t="s">
        <v>39</v>
      </c>
      <c r="AE102" s="2" t="s">
        <v>109</v>
      </c>
      <c r="AF102">
        <v>3</v>
      </c>
      <c r="AG102">
        <v>0</v>
      </c>
      <c r="AH102" t="s">
        <v>78</v>
      </c>
      <c r="AI102">
        <v>0</v>
      </c>
      <c r="AJ102">
        <v>5</v>
      </c>
      <c r="AK102">
        <f t="shared" ca="1" si="6"/>
        <v>40</v>
      </c>
      <c r="AL102">
        <f t="shared" ca="1" si="7"/>
        <v>11</v>
      </c>
      <c r="AM102" t="str">
        <f t="shared" si="8"/>
        <v>Actif</v>
      </c>
      <c r="AN102" s="2" t="str">
        <f t="shared" ca="1" si="9"/>
        <v>30-44 ans</v>
      </c>
      <c r="AO102" s="2" t="str">
        <f t="shared" si="10"/>
        <v>Fully Meets</v>
      </c>
      <c r="AP102" s="2" t="str">
        <f t="shared" si="11"/>
        <v>FAIBLE</v>
      </c>
    </row>
    <row r="103" spans="1:42">
      <c r="A103" s="2" t="s">
        <v>709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s="2" t="s">
        <v>15</v>
      </c>
      <c r="N103" s="2" t="s">
        <v>16</v>
      </c>
      <c r="O103">
        <v>2121</v>
      </c>
      <c r="P103" s="1">
        <v>30359</v>
      </c>
      <c r="Q103" s="2" t="s">
        <v>44</v>
      </c>
      <c r="R103" s="2" t="s">
        <v>18</v>
      </c>
      <c r="S103" s="2" t="s">
        <v>19</v>
      </c>
      <c r="T103" s="2" t="s">
        <v>79</v>
      </c>
      <c r="U103" s="2" t="s">
        <v>71</v>
      </c>
      <c r="V103" s="1">
        <v>40679</v>
      </c>
      <c r="W103" s="1"/>
      <c r="X103" s="2" t="s">
        <v>22</v>
      </c>
      <c r="Y103" s="2" t="s">
        <v>23</v>
      </c>
      <c r="Z103" s="2" t="s">
        <v>24</v>
      </c>
      <c r="AA103" s="2" t="s">
        <v>93</v>
      </c>
      <c r="AB103">
        <v>18</v>
      </c>
      <c r="AC103" s="2" t="s">
        <v>26</v>
      </c>
      <c r="AD103" s="2" t="s">
        <v>39</v>
      </c>
      <c r="AE103" s="2" t="s">
        <v>82</v>
      </c>
      <c r="AF103">
        <v>4</v>
      </c>
      <c r="AG103">
        <v>0</v>
      </c>
      <c r="AH103" t="s">
        <v>298</v>
      </c>
      <c r="AI103">
        <v>0</v>
      </c>
      <c r="AJ103">
        <v>12</v>
      </c>
      <c r="AK103">
        <f t="shared" ca="1" si="6"/>
        <v>43</v>
      </c>
      <c r="AL103">
        <f t="shared" ca="1" si="7"/>
        <v>14</v>
      </c>
      <c r="AM103" t="str">
        <f t="shared" si="8"/>
        <v>Actif</v>
      </c>
      <c r="AN103" s="2" t="str">
        <f t="shared" ca="1" si="9"/>
        <v>30-44 ans</v>
      </c>
      <c r="AO103" s="2" t="str">
        <f t="shared" si="10"/>
        <v>Fully Meets</v>
      </c>
      <c r="AP103" s="2" t="str">
        <f t="shared" si="11"/>
        <v>SURVEILLER</v>
      </c>
    </row>
    <row r="104" spans="1:42">
      <c r="A104" s="2" t="s">
        <v>710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s="2" t="s">
        <v>15</v>
      </c>
      <c r="N104" s="2" t="s">
        <v>16</v>
      </c>
      <c r="O104">
        <v>2145</v>
      </c>
      <c r="P104" s="1">
        <v>32883</v>
      </c>
      <c r="Q104" s="2" t="s">
        <v>44</v>
      </c>
      <c r="R104" s="2" t="s">
        <v>31</v>
      </c>
      <c r="S104" s="2" t="s">
        <v>19</v>
      </c>
      <c r="T104" s="2" t="s">
        <v>20</v>
      </c>
      <c r="U104" s="2" t="s">
        <v>71</v>
      </c>
      <c r="V104" s="1">
        <v>42093</v>
      </c>
      <c r="W104" s="1"/>
      <c r="X104" s="2" t="s">
        <v>22</v>
      </c>
      <c r="Y104" s="2" t="s">
        <v>23</v>
      </c>
      <c r="Z104" s="2" t="s">
        <v>24</v>
      </c>
      <c r="AA104" s="2" t="s">
        <v>25</v>
      </c>
      <c r="AB104">
        <v>22</v>
      </c>
      <c r="AC104" s="2" t="s">
        <v>26</v>
      </c>
      <c r="AD104" s="2" t="s">
        <v>39</v>
      </c>
      <c r="AE104" s="2" t="s">
        <v>299</v>
      </c>
      <c r="AF104">
        <v>3</v>
      </c>
      <c r="AG104">
        <v>0</v>
      </c>
      <c r="AH104" t="s">
        <v>300</v>
      </c>
      <c r="AI104">
        <v>0</v>
      </c>
      <c r="AJ104">
        <v>19</v>
      </c>
      <c r="AK104">
        <f t="shared" ca="1" si="6"/>
        <v>36</v>
      </c>
      <c r="AL104">
        <f t="shared" ca="1" si="7"/>
        <v>11</v>
      </c>
      <c r="AM104" t="str">
        <f t="shared" si="8"/>
        <v>Actif</v>
      </c>
      <c r="AN104" s="2" t="str">
        <f t="shared" ca="1" si="9"/>
        <v>30-44 ans</v>
      </c>
      <c r="AO104" s="2" t="str">
        <f t="shared" si="10"/>
        <v>Fully Meets</v>
      </c>
      <c r="AP104" s="2" t="str">
        <f t="shared" si="11"/>
        <v>SURVEILLER</v>
      </c>
    </row>
    <row r="105" spans="1:42">
      <c r="A105" s="2" t="s">
        <v>711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s="2" t="s">
        <v>15</v>
      </c>
      <c r="N105" s="2" t="s">
        <v>16</v>
      </c>
      <c r="O105">
        <v>2330</v>
      </c>
      <c r="P105" s="1">
        <v>25703</v>
      </c>
      <c r="Q105" s="2" t="s">
        <v>44</v>
      </c>
      <c r="R105" s="2" t="s">
        <v>53</v>
      </c>
      <c r="S105" s="2" t="s">
        <v>19</v>
      </c>
      <c r="T105" s="2" t="s">
        <v>20</v>
      </c>
      <c r="U105" s="2" t="s">
        <v>71</v>
      </c>
      <c r="V105" s="1">
        <v>40735</v>
      </c>
      <c r="W105" s="1">
        <v>42689</v>
      </c>
      <c r="X105" s="2" t="s">
        <v>46</v>
      </c>
      <c r="Y105" s="2" t="s">
        <v>35</v>
      </c>
      <c r="Z105" s="2" t="s">
        <v>24</v>
      </c>
      <c r="AA105" s="2" t="s">
        <v>51</v>
      </c>
      <c r="AB105">
        <v>16</v>
      </c>
      <c r="AC105" s="2" t="s">
        <v>73</v>
      </c>
      <c r="AD105" s="2" t="s">
        <v>39</v>
      </c>
      <c r="AE105" s="2" t="s">
        <v>303</v>
      </c>
      <c r="AF105">
        <v>4</v>
      </c>
      <c r="AG105">
        <v>0</v>
      </c>
      <c r="AH105" t="s">
        <v>304</v>
      </c>
      <c r="AI105">
        <v>0</v>
      </c>
      <c r="AJ105">
        <v>2</v>
      </c>
      <c r="AK105">
        <f t="shared" ca="1" si="6"/>
        <v>55</v>
      </c>
      <c r="AL105">
        <f t="shared" ca="1" si="7"/>
        <v>5</v>
      </c>
      <c r="AM105" t="str">
        <f t="shared" si="8"/>
        <v>Involontaire</v>
      </c>
      <c r="AN105" s="2" t="str">
        <f t="shared" ca="1" si="9"/>
        <v>45-59 ans</v>
      </c>
      <c r="AO105" s="2" t="str">
        <f t="shared" si="10"/>
        <v>Fully Meets</v>
      </c>
      <c r="AP105" s="2" t="str">
        <f t="shared" si="11"/>
        <v>FAIBLE</v>
      </c>
    </row>
    <row r="106" spans="1:42">
      <c r="A106" s="2" t="s">
        <v>712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s="2" t="s">
        <v>151</v>
      </c>
      <c r="N106" s="2" t="s">
        <v>305</v>
      </c>
      <c r="O106">
        <v>43050</v>
      </c>
      <c r="P106" s="1">
        <v>26213</v>
      </c>
      <c r="Q106" s="2" t="s">
        <v>44</v>
      </c>
      <c r="R106" s="2" t="s">
        <v>66</v>
      </c>
      <c r="S106" s="2" t="s">
        <v>19</v>
      </c>
      <c r="T106" s="2" t="s">
        <v>20</v>
      </c>
      <c r="U106" s="2" t="s">
        <v>71</v>
      </c>
      <c r="V106" s="1">
        <v>41827</v>
      </c>
      <c r="W106" s="1">
        <v>42133</v>
      </c>
      <c r="X106" s="2" t="s">
        <v>99</v>
      </c>
      <c r="Y106" s="2" t="s">
        <v>100</v>
      </c>
      <c r="Z106" s="2" t="s">
        <v>154</v>
      </c>
      <c r="AA106" s="2" t="s">
        <v>155</v>
      </c>
      <c r="AB106">
        <v>17</v>
      </c>
      <c r="AC106" s="2" t="s">
        <v>117</v>
      </c>
      <c r="AD106" s="2" t="s">
        <v>39</v>
      </c>
      <c r="AE106" s="2" t="s">
        <v>306</v>
      </c>
      <c r="AF106">
        <v>4</v>
      </c>
      <c r="AG106">
        <v>0</v>
      </c>
      <c r="AH106" t="s">
        <v>307</v>
      </c>
      <c r="AI106">
        <v>0</v>
      </c>
      <c r="AJ106">
        <v>7</v>
      </c>
      <c r="AK106">
        <f t="shared" ca="1" si="6"/>
        <v>54</v>
      </c>
      <c r="AL106">
        <f t="shared" ca="1" si="7"/>
        <v>0</v>
      </c>
      <c r="AM106" t="str">
        <f t="shared" si="8"/>
        <v>Involontaire</v>
      </c>
      <c r="AN106" s="2" t="str">
        <f t="shared" ca="1" si="9"/>
        <v>45-59 ans</v>
      </c>
      <c r="AO106" s="2" t="str">
        <f t="shared" si="10"/>
        <v>Fully Meets</v>
      </c>
      <c r="AP106" s="2" t="str">
        <f t="shared" si="11"/>
        <v>FAIBLE</v>
      </c>
    </row>
    <row r="107" spans="1:42">
      <c r="A107" s="2" t="s">
        <v>713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s="2" t="s">
        <v>15</v>
      </c>
      <c r="N107" s="2" t="s">
        <v>16</v>
      </c>
      <c r="O107">
        <v>2062</v>
      </c>
      <c r="P107" s="1">
        <v>27280</v>
      </c>
      <c r="Q107" s="2" t="s">
        <v>17</v>
      </c>
      <c r="R107" s="2" t="s">
        <v>31</v>
      </c>
      <c r="S107" s="2" t="s">
        <v>19</v>
      </c>
      <c r="T107" s="2" t="s">
        <v>20</v>
      </c>
      <c r="U107" s="2" t="s">
        <v>71</v>
      </c>
      <c r="V107" s="1">
        <v>40943</v>
      </c>
      <c r="W107" s="1">
        <v>42180</v>
      </c>
      <c r="X107" s="2" t="s">
        <v>262</v>
      </c>
      <c r="Y107" s="2" t="s">
        <v>35</v>
      </c>
      <c r="Z107" s="2" t="s">
        <v>24</v>
      </c>
      <c r="AA107" s="2" t="s">
        <v>55</v>
      </c>
      <c r="AB107">
        <v>39</v>
      </c>
      <c r="AC107" s="2" t="s">
        <v>73</v>
      </c>
      <c r="AD107" s="2" t="s">
        <v>118</v>
      </c>
      <c r="AE107" s="2" t="s">
        <v>306</v>
      </c>
      <c r="AF107">
        <v>4</v>
      </c>
      <c r="AG107">
        <v>0</v>
      </c>
      <c r="AH107" t="s">
        <v>309</v>
      </c>
      <c r="AI107">
        <v>3</v>
      </c>
      <c r="AJ107">
        <v>15</v>
      </c>
      <c r="AK107">
        <f t="shared" ca="1" si="6"/>
        <v>51</v>
      </c>
      <c r="AL107">
        <f t="shared" ca="1" si="7"/>
        <v>3</v>
      </c>
      <c r="AM107" t="str">
        <f t="shared" si="8"/>
        <v>Volontaire</v>
      </c>
      <c r="AN107" s="2" t="str">
        <f t="shared" ca="1" si="9"/>
        <v>45-59 ans</v>
      </c>
      <c r="AO107" s="2" t="str">
        <f t="shared" si="10"/>
        <v>Needs Improvement</v>
      </c>
      <c r="AP107" s="2" t="str">
        <f t="shared" si="11"/>
        <v>SURVEILLER</v>
      </c>
    </row>
    <row r="108" spans="1:42">
      <c r="A108" s="2" t="s">
        <v>714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s="2" t="s">
        <v>15</v>
      </c>
      <c r="N108" s="2" t="s">
        <v>16</v>
      </c>
      <c r="O108">
        <v>2451</v>
      </c>
      <c r="P108" s="1">
        <v>29438</v>
      </c>
      <c r="Q108" s="2" t="s">
        <v>44</v>
      </c>
      <c r="R108" s="2" t="s">
        <v>18</v>
      </c>
      <c r="S108" s="2" t="s">
        <v>19</v>
      </c>
      <c r="T108" s="2" t="s">
        <v>79</v>
      </c>
      <c r="U108" s="2" t="s">
        <v>91</v>
      </c>
      <c r="V108" s="1">
        <v>41911</v>
      </c>
      <c r="W108" s="1"/>
      <c r="X108" s="2" t="s">
        <v>22</v>
      </c>
      <c r="Y108" s="2" t="s">
        <v>23</v>
      </c>
      <c r="Z108" s="2" t="s">
        <v>24</v>
      </c>
      <c r="AA108" s="2" t="s">
        <v>59</v>
      </c>
      <c r="AB108">
        <v>11</v>
      </c>
      <c r="AC108" s="2" t="s">
        <v>38</v>
      </c>
      <c r="AD108" s="2" t="s">
        <v>27</v>
      </c>
      <c r="AE108" s="2" t="s">
        <v>310</v>
      </c>
      <c r="AF108">
        <v>4</v>
      </c>
      <c r="AG108">
        <v>0</v>
      </c>
      <c r="AH108">
        <v>43648</v>
      </c>
      <c r="AI108">
        <v>0</v>
      </c>
      <c r="AJ108">
        <v>3</v>
      </c>
      <c r="AK108">
        <f t="shared" ca="1" si="6"/>
        <v>45</v>
      </c>
      <c r="AL108">
        <f t="shared" ca="1" si="7"/>
        <v>11</v>
      </c>
      <c r="AM108" t="str">
        <f t="shared" si="8"/>
        <v>Actif</v>
      </c>
      <c r="AN108" s="2" t="str">
        <f t="shared" ca="1" si="9"/>
        <v>45-59 ans</v>
      </c>
      <c r="AO108" s="2" t="str">
        <f t="shared" si="10"/>
        <v>Exceeds</v>
      </c>
      <c r="AP108" s="2" t="str">
        <f t="shared" si="11"/>
        <v>FAIBLE</v>
      </c>
    </row>
    <row r="109" spans="1:42">
      <c r="A109" s="2" t="s">
        <v>715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s="2" t="s">
        <v>151</v>
      </c>
      <c r="N109" s="2" t="s">
        <v>311</v>
      </c>
      <c r="O109">
        <v>46204</v>
      </c>
      <c r="P109" s="1">
        <v>32773</v>
      </c>
      <c r="Q109" s="2" t="s">
        <v>44</v>
      </c>
      <c r="R109" s="2" t="s">
        <v>18</v>
      </c>
      <c r="S109" s="2" t="s">
        <v>19</v>
      </c>
      <c r="T109" s="2" t="s">
        <v>20</v>
      </c>
      <c r="U109" s="2" t="s">
        <v>21</v>
      </c>
      <c r="V109" s="1">
        <v>42051</v>
      </c>
      <c r="W109" s="1"/>
      <c r="X109" s="2" t="s">
        <v>22</v>
      </c>
      <c r="Y109" s="2" t="s">
        <v>23</v>
      </c>
      <c r="Z109" s="2" t="s">
        <v>154</v>
      </c>
      <c r="AA109" s="2" t="s">
        <v>180</v>
      </c>
      <c r="AB109">
        <v>21</v>
      </c>
      <c r="AC109" s="2" t="s">
        <v>38</v>
      </c>
      <c r="AD109" s="2" t="s">
        <v>39</v>
      </c>
      <c r="AE109" s="2" t="s">
        <v>109</v>
      </c>
      <c r="AF109">
        <v>5</v>
      </c>
      <c r="AG109">
        <v>0</v>
      </c>
      <c r="AH109" t="s">
        <v>75</v>
      </c>
      <c r="AI109">
        <v>0</v>
      </c>
      <c r="AJ109">
        <v>20</v>
      </c>
      <c r="AK109">
        <f t="shared" ca="1" si="6"/>
        <v>36</v>
      </c>
      <c r="AL109">
        <f t="shared" ca="1" si="7"/>
        <v>11</v>
      </c>
      <c r="AM109" t="str">
        <f t="shared" si="8"/>
        <v>Actif</v>
      </c>
      <c r="AN109" s="2" t="str">
        <f t="shared" ca="1" si="9"/>
        <v>30-44 ans</v>
      </c>
      <c r="AO109" s="2" t="str">
        <f t="shared" si="10"/>
        <v>Fully Meets</v>
      </c>
      <c r="AP109" s="2" t="str">
        <f t="shared" si="11"/>
        <v>SURVEILLER</v>
      </c>
    </row>
    <row r="110" spans="1:42">
      <c r="A110" s="2" t="s">
        <v>716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s="2" t="s">
        <v>107</v>
      </c>
      <c r="N110" s="2" t="s">
        <v>16</v>
      </c>
      <c r="O110">
        <v>2127</v>
      </c>
      <c r="P110" s="1">
        <v>26229</v>
      </c>
      <c r="Q110" s="2" t="s">
        <v>44</v>
      </c>
      <c r="R110" s="2" t="s">
        <v>18</v>
      </c>
      <c r="S110" s="2" t="s">
        <v>19</v>
      </c>
      <c r="T110" s="2" t="s">
        <v>20</v>
      </c>
      <c r="U110" s="2" t="s">
        <v>21</v>
      </c>
      <c r="V110" s="1">
        <v>42051</v>
      </c>
      <c r="W110" s="1">
        <v>42078</v>
      </c>
      <c r="X110" s="2" t="s">
        <v>269</v>
      </c>
      <c r="Y110" s="2" t="s">
        <v>100</v>
      </c>
      <c r="Z110" s="2" t="s">
        <v>36</v>
      </c>
      <c r="AA110" s="2" t="s">
        <v>37</v>
      </c>
      <c r="AB110">
        <v>4</v>
      </c>
      <c r="AC110" s="2" t="s">
        <v>38</v>
      </c>
      <c r="AD110" s="2" t="s">
        <v>39</v>
      </c>
      <c r="AE110" s="2" t="s">
        <v>28</v>
      </c>
      <c r="AF110">
        <v>4</v>
      </c>
      <c r="AG110">
        <v>4</v>
      </c>
      <c r="AH110" t="s">
        <v>309</v>
      </c>
      <c r="AI110">
        <v>0</v>
      </c>
      <c r="AJ110">
        <v>10</v>
      </c>
      <c r="AK110">
        <f t="shared" ca="1" si="6"/>
        <v>54</v>
      </c>
      <c r="AL110">
        <f t="shared" ca="1" si="7"/>
        <v>0</v>
      </c>
      <c r="AM110" t="str">
        <f t="shared" si="8"/>
        <v>Involontaire</v>
      </c>
      <c r="AN110" s="2" t="str">
        <f t="shared" ca="1" si="9"/>
        <v>45-59 ans</v>
      </c>
      <c r="AO110" s="2" t="str">
        <f t="shared" si="10"/>
        <v>Fully Meets</v>
      </c>
      <c r="AP110" s="2" t="str">
        <f t="shared" si="11"/>
        <v>FAIBLE</v>
      </c>
    </row>
    <row r="111" spans="1:42">
      <c r="A111" s="2" t="s">
        <v>717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s="2" t="s">
        <v>76</v>
      </c>
      <c r="N111" s="2" t="s">
        <v>16</v>
      </c>
      <c r="O111">
        <v>2135</v>
      </c>
      <c r="P111" s="1">
        <v>32836</v>
      </c>
      <c r="Q111" s="2" t="s">
        <v>17</v>
      </c>
      <c r="R111" s="2" t="s">
        <v>31</v>
      </c>
      <c r="S111" s="2" t="s">
        <v>19</v>
      </c>
      <c r="T111" s="2" t="s">
        <v>79</v>
      </c>
      <c r="U111" s="2" t="s">
        <v>21</v>
      </c>
      <c r="V111" s="1">
        <v>42093</v>
      </c>
      <c r="W111" s="1"/>
      <c r="X111" s="2" t="s">
        <v>22</v>
      </c>
      <c r="Y111" s="2" t="s">
        <v>23</v>
      </c>
      <c r="Z111" s="2" t="s">
        <v>36</v>
      </c>
      <c r="AA111" s="2" t="s">
        <v>77</v>
      </c>
      <c r="AB111">
        <v>7</v>
      </c>
      <c r="AC111" s="2" t="s">
        <v>26</v>
      </c>
      <c r="AD111" s="2" t="s">
        <v>39</v>
      </c>
      <c r="AE111" s="2" t="s">
        <v>187</v>
      </c>
      <c r="AF111">
        <v>5</v>
      </c>
      <c r="AG111">
        <v>7</v>
      </c>
      <c r="AH111">
        <v>43739</v>
      </c>
      <c r="AI111">
        <v>0</v>
      </c>
      <c r="AJ111">
        <v>20</v>
      </c>
      <c r="AK111">
        <f t="shared" ca="1" si="6"/>
        <v>36</v>
      </c>
      <c r="AL111">
        <f t="shared" ca="1" si="7"/>
        <v>11</v>
      </c>
      <c r="AM111" t="str">
        <f t="shared" si="8"/>
        <v>Actif</v>
      </c>
      <c r="AN111" s="2" t="str">
        <f t="shared" ca="1" si="9"/>
        <v>30-44 ans</v>
      </c>
      <c r="AO111" s="2" t="str">
        <f t="shared" si="10"/>
        <v>Fully Meets</v>
      </c>
      <c r="AP111" s="2" t="str">
        <f t="shared" si="11"/>
        <v>SURVEILLER</v>
      </c>
    </row>
    <row r="112" spans="1:42">
      <c r="A112" s="2" t="s">
        <v>718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s="2" t="s">
        <v>15</v>
      </c>
      <c r="N112" s="2" t="s">
        <v>16</v>
      </c>
      <c r="O112">
        <v>2451</v>
      </c>
      <c r="P112" s="1">
        <v>33773</v>
      </c>
      <c r="Q112" s="2" t="s">
        <v>44</v>
      </c>
      <c r="R112" s="2" t="s">
        <v>18</v>
      </c>
      <c r="S112" s="2" t="s">
        <v>19</v>
      </c>
      <c r="T112" s="2" t="s">
        <v>79</v>
      </c>
      <c r="U112" s="2" t="s">
        <v>21</v>
      </c>
      <c r="V112" s="1">
        <v>41589</v>
      </c>
      <c r="W112" s="1"/>
      <c r="X112" s="2" t="s">
        <v>22</v>
      </c>
      <c r="Y112" s="2" t="s">
        <v>23</v>
      </c>
      <c r="Z112" s="2" t="s">
        <v>24</v>
      </c>
      <c r="AA112" s="2" t="s">
        <v>68</v>
      </c>
      <c r="AB112">
        <v>19</v>
      </c>
      <c r="AC112" s="2" t="s">
        <v>38</v>
      </c>
      <c r="AD112" s="2" t="s">
        <v>39</v>
      </c>
      <c r="AE112" s="2" t="s">
        <v>187</v>
      </c>
      <c r="AF112">
        <v>5</v>
      </c>
      <c r="AG112">
        <v>0</v>
      </c>
      <c r="AH112" t="s">
        <v>78</v>
      </c>
      <c r="AI112">
        <v>0</v>
      </c>
      <c r="AJ112">
        <v>7</v>
      </c>
      <c r="AK112">
        <f t="shared" ca="1" si="6"/>
        <v>33</v>
      </c>
      <c r="AL112">
        <f t="shared" ca="1" si="7"/>
        <v>12</v>
      </c>
      <c r="AM112" t="str">
        <f t="shared" si="8"/>
        <v>Actif</v>
      </c>
      <c r="AN112" s="2" t="str">
        <f t="shared" ca="1" si="9"/>
        <v>30-44 ans</v>
      </c>
      <c r="AO112" s="2" t="str">
        <f t="shared" si="10"/>
        <v>Fully Meets</v>
      </c>
      <c r="AP112" s="2" t="str">
        <f t="shared" si="11"/>
        <v>FAIBLE</v>
      </c>
    </row>
    <row r="113" spans="1:42">
      <c r="A113" s="2" t="s">
        <v>719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s="2" t="s">
        <v>15</v>
      </c>
      <c r="N113" s="2" t="s">
        <v>16</v>
      </c>
      <c r="O113">
        <v>2108</v>
      </c>
      <c r="P113" s="1">
        <v>25475</v>
      </c>
      <c r="Q113" s="2" t="s">
        <v>17</v>
      </c>
      <c r="R113" s="2" t="s">
        <v>53</v>
      </c>
      <c r="S113" s="2" t="s">
        <v>19</v>
      </c>
      <c r="T113" s="2" t="s">
        <v>20</v>
      </c>
      <c r="U113" s="2" t="s">
        <v>71</v>
      </c>
      <c r="V113" s="1">
        <v>40854</v>
      </c>
      <c r="W113" s="1"/>
      <c r="X113" s="2" t="s">
        <v>22</v>
      </c>
      <c r="Y113" s="2" t="s">
        <v>23</v>
      </c>
      <c r="Z113" s="2" t="s">
        <v>24</v>
      </c>
      <c r="AA113" s="2" t="s">
        <v>72</v>
      </c>
      <c r="AB113">
        <v>12</v>
      </c>
      <c r="AC113" s="2" t="s">
        <v>73</v>
      </c>
      <c r="AD113" s="2" t="s">
        <v>27</v>
      </c>
      <c r="AE113" s="2" t="s">
        <v>109</v>
      </c>
      <c r="AF113">
        <v>4</v>
      </c>
      <c r="AG113">
        <v>0</v>
      </c>
      <c r="AH113" t="s">
        <v>78</v>
      </c>
      <c r="AI113">
        <v>0</v>
      </c>
      <c r="AJ113">
        <v>1</v>
      </c>
      <c r="AK113">
        <f t="shared" ca="1" si="6"/>
        <v>56</v>
      </c>
      <c r="AL113">
        <f t="shared" ca="1" si="7"/>
        <v>14</v>
      </c>
      <c r="AM113" t="str">
        <f t="shared" si="8"/>
        <v>Actif</v>
      </c>
      <c r="AN113" s="2" t="str">
        <f t="shared" ca="1" si="9"/>
        <v>45-59 ans</v>
      </c>
      <c r="AO113" s="2" t="str">
        <f t="shared" si="10"/>
        <v>Exceeds</v>
      </c>
      <c r="AP113" s="2" t="str">
        <f t="shared" si="11"/>
        <v>FAIBLE</v>
      </c>
    </row>
    <row r="114" spans="1:42">
      <c r="A114" s="2" t="s">
        <v>720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s="2" t="s">
        <v>42</v>
      </c>
      <c r="N114" s="2" t="s">
        <v>16</v>
      </c>
      <c r="O114">
        <v>2128</v>
      </c>
      <c r="P114" s="1">
        <v>23721</v>
      </c>
      <c r="Q114" s="2" t="s">
        <v>17</v>
      </c>
      <c r="R114" s="2" t="s">
        <v>31</v>
      </c>
      <c r="S114" s="2" t="s">
        <v>19</v>
      </c>
      <c r="T114" s="2" t="s">
        <v>20</v>
      </c>
      <c r="U114" s="2" t="s">
        <v>71</v>
      </c>
      <c r="V114" s="1">
        <v>40294</v>
      </c>
      <c r="W114" s="1">
        <v>40693</v>
      </c>
      <c r="X114" s="2" t="s">
        <v>34</v>
      </c>
      <c r="Y114" s="2" t="s">
        <v>35</v>
      </c>
      <c r="Z114" s="2" t="s">
        <v>24</v>
      </c>
      <c r="AA114" s="2" t="s">
        <v>72</v>
      </c>
      <c r="AB114">
        <v>12</v>
      </c>
      <c r="AC114" s="2" t="s">
        <v>73</v>
      </c>
      <c r="AD114" s="2" t="s">
        <v>230</v>
      </c>
      <c r="AE114" s="2" t="s">
        <v>181</v>
      </c>
      <c r="AF114">
        <v>3</v>
      </c>
      <c r="AG114">
        <v>0</v>
      </c>
      <c r="AH114">
        <v>40697</v>
      </c>
      <c r="AI114">
        <v>3</v>
      </c>
      <c r="AJ114">
        <v>10</v>
      </c>
      <c r="AK114">
        <f t="shared" ca="1" si="6"/>
        <v>61</v>
      </c>
      <c r="AL114">
        <f t="shared" ca="1" si="7"/>
        <v>1</v>
      </c>
      <c r="AM114" t="str">
        <f t="shared" si="8"/>
        <v>Volontaire</v>
      </c>
      <c r="AN114" s="2" t="str">
        <f t="shared" ca="1" si="9"/>
        <v>60 ans et plus</v>
      </c>
      <c r="AO114" s="2" t="str">
        <f t="shared" si="10"/>
        <v>PIP</v>
      </c>
      <c r="AP114" s="2" t="str">
        <f t="shared" si="11"/>
        <v>FAIBLE</v>
      </c>
    </row>
    <row r="115" spans="1:42">
      <c r="A115" s="2" t="s">
        <v>721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s="2" t="s">
        <v>76</v>
      </c>
      <c r="N115" s="2" t="s">
        <v>16</v>
      </c>
      <c r="O115">
        <v>2472</v>
      </c>
      <c r="P115" s="1">
        <v>29692</v>
      </c>
      <c r="Q115" s="2" t="s">
        <v>44</v>
      </c>
      <c r="R115" s="2" t="s">
        <v>149</v>
      </c>
      <c r="S115" s="2" t="s">
        <v>19</v>
      </c>
      <c r="T115" s="2" t="s">
        <v>79</v>
      </c>
      <c r="U115" s="2" t="s">
        <v>21</v>
      </c>
      <c r="V115" s="1">
        <v>42125</v>
      </c>
      <c r="W115" s="1"/>
      <c r="X115" s="2" t="s">
        <v>22</v>
      </c>
      <c r="Y115" s="2" t="s">
        <v>23</v>
      </c>
      <c r="Z115" s="2" t="s">
        <v>36</v>
      </c>
      <c r="AA115" s="2" t="s">
        <v>77</v>
      </c>
      <c r="AB115">
        <v>7</v>
      </c>
      <c r="AC115" s="2" t="s">
        <v>69</v>
      </c>
      <c r="AD115" s="2" t="s">
        <v>39</v>
      </c>
      <c r="AE115" s="2" t="s">
        <v>320</v>
      </c>
      <c r="AF115">
        <v>4</v>
      </c>
      <c r="AG115">
        <v>5</v>
      </c>
      <c r="AH115" t="s">
        <v>213</v>
      </c>
      <c r="AI115">
        <v>0</v>
      </c>
      <c r="AJ115">
        <v>11</v>
      </c>
      <c r="AK115">
        <f t="shared" ca="1" si="6"/>
        <v>44</v>
      </c>
      <c r="AL115">
        <f t="shared" ca="1" si="7"/>
        <v>10</v>
      </c>
      <c r="AM115" t="str">
        <f t="shared" si="8"/>
        <v>Actif</v>
      </c>
      <c r="AN115" s="2" t="str">
        <f t="shared" ca="1" si="9"/>
        <v>30-44 ans</v>
      </c>
      <c r="AO115" s="2" t="str">
        <f t="shared" si="10"/>
        <v>Fully Meets</v>
      </c>
      <c r="AP115" s="2" t="str">
        <f t="shared" si="11"/>
        <v>SURVEILLER</v>
      </c>
    </row>
    <row r="116" spans="1:42">
      <c r="A116" s="2" t="s">
        <v>722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s="2" t="s">
        <v>42</v>
      </c>
      <c r="N116" s="2" t="s">
        <v>16</v>
      </c>
      <c r="O116">
        <v>1886</v>
      </c>
      <c r="P116" s="1">
        <v>31557</v>
      </c>
      <c r="Q116" s="2" t="s">
        <v>44</v>
      </c>
      <c r="R116" s="2" t="s">
        <v>31</v>
      </c>
      <c r="S116" s="2" t="s">
        <v>19</v>
      </c>
      <c r="T116" s="2" t="s">
        <v>20</v>
      </c>
      <c r="U116" s="2" t="s">
        <v>21</v>
      </c>
      <c r="V116" s="1">
        <v>41978</v>
      </c>
      <c r="W116" s="1"/>
      <c r="X116" s="2" t="s">
        <v>22</v>
      </c>
      <c r="Y116" s="2" t="s">
        <v>23</v>
      </c>
      <c r="Z116" s="2" t="s">
        <v>24</v>
      </c>
      <c r="AA116" s="2" t="s">
        <v>81</v>
      </c>
      <c r="AB116">
        <v>14</v>
      </c>
      <c r="AC116" s="2" t="s">
        <v>26</v>
      </c>
      <c r="AD116" s="2" t="s">
        <v>39</v>
      </c>
      <c r="AE116" s="2" t="s">
        <v>28</v>
      </c>
      <c r="AF116">
        <v>3</v>
      </c>
      <c r="AG116">
        <v>0</v>
      </c>
      <c r="AH116">
        <v>43648</v>
      </c>
      <c r="AI116">
        <v>0</v>
      </c>
      <c r="AJ116">
        <v>20</v>
      </c>
      <c r="AK116">
        <f t="shared" ca="1" si="6"/>
        <v>39</v>
      </c>
      <c r="AL116">
        <f t="shared" ca="1" si="7"/>
        <v>11</v>
      </c>
      <c r="AM116" t="str">
        <f t="shared" si="8"/>
        <v>Actif</v>
      </c>
      <c r="AN116" s="2" t="str">
        <f t="shared" ca="1" si="9"/>
        <v>30-44 ans</v>
      </c>
      <c r="AO116" s="2" t="str">
        <f t="shared" si="10"/>
        <v>Fully Meets</v>
      </c>
      <c r="AP116" s="2" t="str">
        <f t="shared" si="11"/>
        <v>SURVEILLER</v>
      </c>
    </row>
    <row r="117" spans="1:42">
      <c r="A117" s="2" t="s">
        <v>723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s="2" t="s">
        <v>15</v>
      </c>
      <c r="N117" s="2" t="s">
        <v>16</v>
      </c>
      <c r="O117">
        <v>2169</v>
      </c>
      <c r="P117" s="1">
        <v>28996</v>
      </c>
      <c r="Q117" s="2" t="s">
        <v>17</v>
      </c>
      <c r="R117" s="2" t="s">
        <v>31</v>
      </c>
      <c r="S117" s="2" t="s">
        <v>19</v>
      </c>
      <c r="T117" s="2" t="s">
        <v>20</v>
      </c>
      <c r="U117" s="2" t="s">
        <v>21</v>
      </c>
      <c r="V117" s="1">
        <v>40946</v>
      </c>
      <c r="W117" s="1"/>
      <c r="X117" s="2" t="s">
        <v>22</v>
      </c>
      <c r="Y117" s="2" t="s">
        <v>23</v>
      </c>
      <c r="Z117" s="2" t="s">
        <v>24</v>
      </c>
      <c r="AA117" s="2" t="s">
        <v>81</v>
      </c>
      <c r="AB117">
        <v>14</v>
      </c>
      <c r="AC117" s="2" t="s">
        <v>26</v>
      </c>
      <c r="AD117" s="2" t="s">
        <v>39</v>
      </c>
      <c r="AE117" s="2" t="s">
        <v>57</v>
      </c>
      <c r="AF117">
        <v>3</v>
      </c>
      <c r="AG117">
        <v>0</v>
      </c>
      <c r="AH117" t="s">
        <v>104</v>
      </c>
      <c r="AI117">
        <v>0</v>
      </c>
      <c r="AJ117">
        <v>2</v>
      </c>
      <c r="AK117">
        <f t="shared" ca="1" si="6"/>
        <v>46</v>
      </c>
      <c r="AL117">
        <f t="shared" ca="1" si="7"/>
        <v>14</v>
      </c>
      <c r="AM117" t="str">
        <f t="shared" si="8"/>
        <v>Actif</v>
      </c>
      <c r="AN117" s="2" t="str">
        <f t="shared" ca="1" si="9"/>
        <v>45-59 ans</v>
      </c>
      <c r="AO117" s="2" t="str">
        <f t="shared" si="10"/>
        <v>Fully Meets</v>
      </c>
      <c r="AP117" s="2" t="str">
        <f t="shared" si="11"/>
        <v>FAIBLE</v>
      </c>
    </row>
    <row r="118" spans="1:42">
      <c r="A118" s="2" t="s">
        <v>724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s="2" t="s">
        <v>42</v>
      </c>
      <c r="N118" s="2" t="s">
        <v>16</v>
      </c>
      <c r="O118">
        <v>1824</v>
      </c>
      <c r="P118" s="1">
        <v>30540</v>
      </c>
      <c r="Q118" s="2" t="s">
        <v>44</v>
      </c>
      <c r="R118" s="2" t="s">
        <v>149</v>
      </c>
      <c r="S118" s="2" t="s">
        <v>19</v>
      </c>
      <c r="T118" s="2" t="s">
        <v>20</v>
      </c>
      <c r="U118" s="2" t="s">
        <v>323</v>
      </c>
      <c r="V118" s="1">
        <v>41547</v>
      </c>
      <c r="W118" s="1"/>
      <c r="X118" s="2" t="s">
        <v>22</v>
      </c>
      <c r="Y118" s="2" t="s">
        <v>23</v>
      </c>
      <c r="Z118" s="2" t="s">
        <v>24</v>
      </c>
      <c r="AA118" s="2" t="s">
        <v>47</v>
      </c>
      <c r="AB118">
        <v>20</v>
      </c>
      <c r="AC118" s="2" t="s">
        <v>56</v>
      </c>
      <c r="AD118" s="2" t="s">
        <v>39</v>
      </c>
      <c r="AE118" s="2" t="s">
        <v>103</v>
      </c>
      <c r="AF118">
        <v>5</v>
      </c>
      <c r="AG118">
        <v>0</v>
      </c>
      <c r="AH118" t="s">
        <v>158</v>
      </c>
      <c r="AI118">
        <v>0</v>
      </c>
      <c r="AJ118">
        <v>1</v>
      </c>
      <c r="AK118">
        <f t="shared" ca="1" si="6"/>
        <v>42</v>
      </c>
      <c r="AL118">
        <f t="shared" ca="1" si="7"/>
        <v>12</v>
      </c>
      <c r="AM118" t="str">
        <f t="shared" si="8"/>
        <v>Actif</v>
      </c>
      <c r="AN118" s="2" t="str">
        <f t="shared" ca="1" si="9"/>
        <v>30-44 ans</v>
      </c>
      <c r="AO118" s="2" t="str">
        <f t="shared" si="10"/>
        <v>Fully Meets</v>
      </c>
      <c r="AP118" s="2" t="str">
        <f t="shared" si="11"/>
        <v>FAIBLE</v>
      </c>
    </row>
    <row r="119" spans="1:42">
      <c r="A119" s="2" t="s">
        <v>725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s="2" t="s">
        <v>15</v>
      </c>
      <c r="N119" s="2" t="s">
        <v>16</v>
      </c>
      <c r="O119">
        <v>1864</v>
      </c>
      <c r="P119" s="1">
        <v>27282</v>
      </c>
      <c r="Q119" s="2" t="s">
        <v>44</v>
      </c>
      <c r="R119" s="2" t="s">
        <v>31</v>
      </c>
      <c r="S119" s="2" t="s">
        <v>19</v>
      </c>
      <c r="T119" s="2" t="s">
        <v>20</v>
      </c>
      <c r="U119" s="2" t="s">
        <v>111</v>
      </c>
      <c r="V119" s="1">
        <v>41505</v>
      </c>
      <c r="W119" s="1"/>
      <c r="X119" s="2" t="s">
        <v>22</v>
      </c>
      <c r="Y119" s="2" t="s">
        <v>23</v>
      </c>
      <c r="Z119" s="2" t="s">
        <v>24</v>
      </c>
      <c r="AA119" s="2" t="s">
        <v>47</v>
      </c>
      <c r="AB119">
        <v>20</v>
      </c>
      <c r="AC119" s="2" t="s">
        <v>26</v>
      </c>
      <c r="AD119" s="2" t="s">
        <v>39</v>
      </c>
      <c r="AE119" s="2" t="s">
        <v>199</v>
      </c>
      <c r="AF119">
        <v>5</v>
      </c>
      <c r="AG119">
        <v>0</v>
      </c>
      <c r="AH119" t="s">
        <v>324</v>
      </c>
      <c r="AI119">
        <v>0</v>
      </c>
      <c r="AJ119">
        <v>3</v>
      </c>
      <c r="AK119">
        <f t="shared" ca="1" si="6"/>
        <v>51</v>
      </c>
      <c r="AL119">
        <f t="shared" ca="1" si="7"/>
        <v>12</v>
      </c>
      <c r="AM119" t="str">
        <f t="shared" si="8"/>
        <v>Actif</v>
      </c>
      <c r="AN119" s="2" t="str">
        <f t="shared" ca="1" si="9"/>
        <v>45-59 ans</v>
      </c>
      <c r="AO119" s="2" t="str">
        <f t="shared" si="10"/>
        <v>Fully Meets</v>
      </c>
      <c r="AP119" s="2" t="str">
        <f t="shared" si="11"/>
        <v>FAIBLE</v>
      </c>
    </row>
    <row r="120" spans="1:42">
      <c r="A120" s="2" t="s">
        <v>726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s="2" t="s">
        <v>133</v>
      </c>
      <c r="N120" s="2" t="s">
        <v>16</v>
      </c>
      <c r="O120">
        <v>1752</v>
      </c>
      <c r="P120" s="1">
        <v>29897</v>
      </c>
      <c r="Q120" s="2" t="s">
        <v>17</v>
      </c>
      <c r="R120" s="2" t="s">
        <v>53</v>
      </c>
      <c r="S120" s="2" t="s">
        <v>19</v>
      </c>
      <c r="T120" s="2" t="s">
        <v>20</v>
      </c>
      <c r="U120" s="2" t="s">
        <v>21</v>
      </c>
      <c r="V120" s="1">
        <v>42041</v>
      </c>
      <c r="W120" s="1"/>
      <c r="X120" s="2" t="s">
        <v>22</v>
      </c>
      <c r="Y120" s="2" t="s">
        <v>23</v>
      </c>
      <c r="Z120" s="2" t="s">
        <v>24</v>
      </c>
      <c r="AA120" s="2" t="s">
        <v>135</v>
      </c>
      <c r="AB120">
        <v>2</v>
      </c>
      <c r="AC120" s="2" t="s">
        <v>69</v>
      </c>
      <c r="AD120" s="2" t="s">
        <v>39</v>
      </c>
      <c r="AE120" s="2" t="s">
        <v>325</v>
      </c>
      <c r="AF120">
        <v>3</v>
      </c>
      <c r="AG120">
        <v>0</v>
      </c>
      <c r="AH120">
        <v>43556</v>
      </c>
      <c r="AI120">
        <v>0</v>
      </c>
      <c r="AJ120">
        <v>2</v>
      </c>
      <c r="AK120">
        <f t="shared" ca="1" si="6"/>
        <v>44</v>
      </c>
      <c r="AL120">
        <f t="shared" ca="1" si="7"/>
        <v>11</v>
      </c>
      <c r="AM120" t="str">
        <f t="shared" si="8"/>
        <v>Actif</v>
      </c>
      <c r="AN120" s="2" t="str">
        <f t="shared" ca="1" si="9"/>
        <v>30-44 ans</v>
      </c>
      <c r="AO120" s="2" t="str">
        <f t="shared" si="10"/>
        <v>Fully Meets</v>
      </c>
      <c r="AP120" s="2" t="str">
        <f t="shared" si="11"/>
        <v>FAIBLE</v>
      </c>
    </row>
    <row r="121" spans="1:42">
      <c r="A121" s="2" t="s">
        <v>727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s="2" t="s">
        <v>15</v>
      </c>
      <c r="N121" s="2" t="s">
        <v>16</v>
      </c>
      <c r="O121">
        <v>2176</v>
      </c>
      <c r="P121" s="1">
        <v>30457</v>
      </c>
      <c r="Q121" s="2" t="s">
        <v>44</v>
      </c>
      <c r="R121" s="2" t="s">
        <v>53</v>
      </c>
      <c r="S121" s="2" t="s">
        <v>19</v>
      </c>
      <c r="T121" s="2" t="s">
        <v>20</v>
      </c>
      <c r="U121" s="2" t="s">
        <v>21</v>
      </c>
      <c r="V121" s="1">
        <v>40595</v>
      </c>
      <c r="W121" s="1">
        <v>41944</v>
      </c>
      <c r="X121" s="2" t="s">
        <v>233</v>
      </c>
      <c r="Y121" s="2" t="s">
        <v>35</v>
      </c>
      <c r="Z121" s="2" t="s">
        <v>24</v>
      </c>
      <c r="AA121" s="2" t="s">
        <v>93</v>
      </c>
      <c r="AB121">
        <v>18</v>
      </c>
      <c r="AC121" s="2" t="s">
        <v>117</v>
      </c>
      <c r="AD121" s="2" t="s">
        <v>39</v>
      </c>
      <c r="AE121" s="2" t="s">
        <v>57</v>
      </c>
      <c r="AF121">
        <v>5</v>
      </c>
      <c r="AG121">
        <v>0</v>
      </c>
      <c r="AH121">
        <v>41339</v>
      </c>
      <c r="AI121">
        <v>0</v>
      </c>
      <c r="AJ121">
        <v>17</v>
      </c>
      <c r="AK121">
        <f t="shared" ca="1" si="6"/>
        <v>42</v>
      </c>
      <c r="AL121">
        <f t="shared" ca="1" si="7"/>
        <v>3</v>
      </c>
      <c r="AM121" t="str">
        <f t="shared" si="8"/>
        <v>Volontaire</v>
      </c>
      <c r="AN121" s="2" t="str">
        <f t="shared" ca="1" si="9"/>
        <v>30-44 ans</v>
      </c>
      <c r="AO121" s="2" t="str">
        <f t="shared" si="10"/>
        <v>Fully Meets</v>
      </c>
      <c r="AP121" s="2" t="str">
        <f t="shared" si="11"/>
        <v>SURVEILLER</v>
      </c>
    </row>
    <row r="122" spans="1:42">
      <c r="A122" s="2" t="s">
        <v>728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s="2" t="s">
        <v>236</v>
      </c>
      <c r="N122" s="2" t="s">
        <v>16</v>
      </c>
      <c r="O122">
        <v>2134</v>
      </c>
      <c r="P122" s="1">
        <v>32689</v>
      </c>
      <c r="Q122" s="2" t="s">
        <v>17</v>
      </c>
      <c r="R122" s="2" t="s">
        <v>31</v>
      </c>
      <c r="S122" s="2" t="s">
        <v>19</v>
      </c>
      <c r="T122" s="2" t="s">
        <v>20</v>
      </c>
      <c r="U122" s="2" t="s">
        <v>71</v>
      </c>
      <c r="V122" s="1">
        <v>42845</v>
      </c>
      <c r="W122" s="1"/>
      <c r="X122" s="2" t="s">
        <v>22</v>
      </c>
      <c r="Y122" s="2" t="s">
        <v>23</v>
      </c>
      <c r="Z122" s="2" t="s">
        <v>36</v>
      </c>
      <c r="AA122" s="2" t="s">
        <v>238</v>
      </c>
      <c r="AB122">
        <v>13</v>
      </c>
      <c r="AC122" s="2" t="s">
        <v>38</v>
      </c>
      <c r="AD122" s="2" t="s">
        <v>39</v>
      </c>
      <c r="AE122" s="2" t="s">
        <v>82</v>
      </c>
      <c r="AF122">
        <v>5</v>
      </c>
      <c r="AG122">
        <v>5</v>
      </c>
      <c r="AH122" t="s">
        <v>213</v>
      </c>
      <c r="AI122">
        <v>0</v>
      </c>
      <c r="AJ122">
        <v>8</v>
      </c>
      <c r="AK122">
        <f t="shared" ca="1" si="6"/>
        <v>36</v>
      </c>
      <c r="AL122">
        <f t="shared" ca="1" si="7"/>
        <v>8</v>
      </c>
      <c r="AM122" t="str">
        <f t="shared" si="8"/>
        <v>Actif</v>
      </c>
      <c r="AN122" s="2" t="str">
        <f t="shared" ca="1" si="9"/>
        <v>30-44 ans</v>
      </c>
      <c r="AO122" s="2" t="str">
        <f t="shared" si="10"/>
        <v>Fully Meets</v>
      </c>
      <c r="AP122" s="2" t="str">
        <f t="shared" si="11"/>
        <v>FAIBLE</v>
      </c>
    </row>
    <row r="123" spans="1:42">
      <c r="A123" s="2" t="s">
        <v>729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s="2" t="s">
        <v>151</v>
      </c>
      <c r="N123" s="2" t="s">
        <v>329</v>
      </c>
      <c r="O123">
        <v>37129</v>
      </c>
      <c r="P123" s="1">
        <v>25448</v>
      </c>
      <c r="Q123" s="2" t="s">
        <v>17</v>
      </c>
      <c r="R123" s="2" t="s">
        <v>18</v>
      </c>
      <c r="S123" s="2" t="s">
        <v>19</v>
      </c>
      <c r="T123" s="2" t="s">
        <v>20</v>
      </c>
      <c r="U123" s="2" t="s">
        <v>91</v>
      </c>
      <c r="V123" s="1">
        <v>41093</v>
      </c>
      <c r="W123" s="1">
        <v>41943</v>
      </c>
      <c r="X123" s="2" t="s">
        <v>186</v>
      </c>
      <c r="Y123" s="2" t="s">
        <v>35</v>
      </c>
      <c r="Z123" s="2" t="s">
        <v>154</v>
      </c>
      <c r="AA123" s="2" t="s">
        <v>155</v>
      </c>
      <c r="AB123">
        <v>17</v>
      </c>
      <c r="AC123" s="2" t="s">
        <v>26</v>
      </c>
      <c r="AD123" s="2" t="s">
        <v>39</v>
      </c>
      <c r="AE123" s="2" t="s">
        <v>109</v>
      </c>
      <c r="AF123">
        <v>5</v>
      </c>
      <c r="AG123">
        <v>0</v>
      </c>
      <c r="AH123">
        <v>41276</v>
      </c>
      <c r="AI123">
        <v>0</v>
      </c>
      <c r="AJ123">
        <v>20</v>
      </c>
      <c r="AK123">
        <f t="shared" ca="1" si="6"/>
        <v>56</v>
      </c>
      <c r="AL123">
        <f t="shared" ca="1" si="7"/>
        <v>2</v>
      </c>
      <c r="AM123" t="str">
        <f t="shared" si="8"/>
        <v>Volontaire</v>
      </c>
      <c r="AN123" s="2" t="str">
        <f t="shared" ca="1" si="9"/>
        <v>45-59 ans</v>
      </c>
      <c r="AO123" s="2" t="str">
        <f t="shared" si="10"/>
        <v>Fully Meets</v>
      </c>
      <c r="AP123" s="2" t="str">
        <f t="shared" si="11"/>
        <v>SURVEILLER</v>
      </c>
    </row>
    <row r="124" spans="1:42">
      <c r="A124" s="2" t="s">
        <v>730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s="2" t="s">
        <v>15</v>
      </c>
      <c r="N124" s="2" t="s">
        <v>16</v>
      </c>
      <c r="O124">
        <v>2127</v>
      </c>
      <c r="P124" s="1">
        <v>28207</v>
      </c>
      <c r="Q124" s="2" t="s">
        <v>44</v>
      </c>
      <c r="R124" s="2" t="s">
        <v>31</v>
      </c>
      <c r="S124" s="2" t="s">
        <v>19</v>
      </c>
      <c r="T124" s="2" t="s">
        <v>20</v>
      </c>
      <c r="U124" s="2" t="s">
        <v>21</v>
      </c>
      <c r="V124" s="1">
        <v>40875</v>
      </c>
      <c r="W124" s="1"/>
      <c r="X124" s="2" t="s">
        <v>22</v>
      </c>
      <c r="Y124" s="2" t="s">
        <v>23</v>
      </c>
      <c r="Z124" s="2" t="s">
        <v>24</v>
      </c>
      <c r="AA124" s="2" t="s">
        <v>25</v>
      </c>
      <c r="AB124">
        <v>22</v>
      </c>
      <c r="AC124" s="2" t="s">
        <v>56</v>
      </c>
      <c r="AD124" s="2" t="s">
        <v>39</v>
      </c>
      <c r="AE124" s="2" t="s">
        <v>82</v>
      </c>
      <c r="AF124">
        <v>4</v>
      </c>
      <c r="AG124">
        <v>0</v>
      </c>
      <c r="AH124" t="s">
        <v>166</v>
      </c>
      <c r="AI124">
        <v>0</v>
      </c>
      <c r="AJ124">
        <v>13</v>
      </c>
      <c r="AK124">
        <f t="shared" ca="1" si="6"/>
        <v>49</v>
      </c>
      <c r="AL124">
        <f t="shared" ca="1" si="7"/>
        <v>14</v>
      </c>
      <c r="AM124" t="str">
        <f t="shared" si="8"/>
        <v>Actif</v>
      </c>
      <c r="AN124" s="2" t="str">
        <f t="shared" ca="1" si="9"/>
        <v>45-59 ans</v>
      </c>
      <c r="AO124" s="2" t="str">
        <f t="shared" si="10"/>
        <v>Fully Meets</v>
      </c>
      <c r="AP124" s="2" t="str">
        <f t="shared" si="11"/>
        <v>SURVEILLER</v>
      </c>
    </row>
    <row r="125" spans="1:42">
      <c r="A125" s="2" t="s">
        <v>731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s="2" t="s">
        <v>42</v>
      </c>
      <c r="N125" s="2" t="s">
        <v>16</v>
      </c>
      <c r="O125">
        <v>2155</v>
      </c>
      <c r="P125" s="1">
        <v>32424</v>
      </c>
      <c r="Q125" s="2" t="s">
        <v>17</v>
      </c>
      <c r="R125" s="2" t="s">
        <v>18</v>
      </c>
      <c r="S125" s="2" t="s">
        <v>19</v>
      </c>
      <c r="T125" s="2" t="s">
        <v>79</v>
      </c>
      <c r="U125" s="2" t="s">
        <v>21</v>
      </c>
      <c r="V125" s="1">
        <v>41589</v>
      </c>
      <c r="W125" s="1"/>
      <c r="X125" s="2" t="s">
        <v>22</v>
      </c>
      <c r="Y125" s="2" t="s">
        <v>23</v>
      </c>
      <c r="Z125" s="2" t="s">
        <v>24</v>
      </c>
      <c r="AA125" s="2" t="s">
        <v>93</v>
      </c>
      <c r="AB125">
        <v>18</v>
      </c>
      <c r="AC125" s="2" t="s">
        <v>26</v>
      </c>
      <c r="AD125" s="2" t="s">
        <v>39</v>
      </c>
      <c r="AE125" s="2" t="s">
        <v>57</v>
      </c>
      <c r="AF125">
        <v>3</v>
      </c>
      <c r="AG125">
        <v>0</v>
      </c>
      <c r="AH125">
        <v>43678</v>
      </c>
      <c r="AI125">
        <v>0</v>
      </c>
      <c r="AJ125">
        <v>20</v>
      </c>
      <c r="AK125">
        <f t="shared" ca="1" si="6"/>
        <v>37</v>
      </c>
      <c r="AL125">
        <f t="shared" ca="1" si="7"/>
        <v>12</v>
      </c>
      <c r="AM125" t="str">
        <f t="shared" si="8"/>
        <v>Actif</v>
      </c>
      <c r="AN125" s="2" t="str">
        <f t="shared" ca="1" si="9"/>
        <v>30-44 ans</v>
      </c>
      <c r="AO125" s="2" t="str">
        <f t="shared" si="10"/>
        <v>Fully Meets</v>
      </c>
      <c r="AP125" s="2" t="str">
        <f t="shared" si="11"/>
        <v>SURVEILLER</v>
      </c>
    </row>
    <row r="126" spans="1:42">
      <c r="A126" s="2" t="s">
        <v>732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s="2" t="s">
        <v>15</v>
      </c>
      <c r="N126" s="2" t="s">
        <v>16</v>
      </c>
      <c r="O126">
        <v>2324</v>
      </c>
      <c r="P126" s="1">
        <v>19224</v>
      </c>
      <c r="Q126" s="2" t="s">
        <v>44</v>
      </c>
      <c r="R126" s="2" t="s">
        <v>18</v>
      </c>
      <c r="S126" s="2" t="s">
        <v>19</v>
      </c>
      <c r="T126" s="2" t="s">
        <v>20</v>
      </c>
      <c r="U126" s="2" t="s">
        <v>21</v>
      </c>
      <c r="V126" s="1">
        <v>41153</v>
      </c>
      <c r="W126" s="1">
        <v>42353</v>
      </c>
      <c r="X126" s="2" t="s">
        <v>134</v>
      </c>
      <c r="Y126" s="2" t="s">
        <v>35</v>
      </c>
      <c r="Z126" s="2" t="s">
        <v>24</v>
      </c>
      <c r="AA126" s="2" t="s">
        <v>55</v>
      </c>
      <c r="AB126">
        <v>39</v>
      </c>
      <c r="AC126" s="2" t="s">
        <v>117</v>
      </c>
      <c r="AD126" s="2" t="s">
        <v>39</v>
      </c>
      <c r="AE126" s="2" t="s">
        <v>335</v>
      </c>
      <c r="AF126">
        <v>4</v>
      </c>
      <c r="AG126">
        <v>0</v>
      </c>
      <c r="AH126">
        <v>42040</v>
      </c>
      <c r="AI126">
        <v>0</v>
      </c>
      <c r="AJ126">
        <v>8</v>
      </c>
      <c r="AK126">
        <f t="shared" ca="1" si="6"/>
        <v>73</v>
      </c>
      <c r="AL126">
        <f t="shared" ca="1" si="7"/>
        <v>3</v>
      </c>
      <c r="AM126" t="str">
        <f t="shared" si="8"/>
        <v>Volontaire</v>
      </c>
      <c r="AN126" s="2" t="str">
        <f t="shared" ca="1" si="9"/>
        <v>60 ans et plus</v>
      </c>
      <c r="AO126" s="2" t="str">
        <f t="shared" si="10"/>
        <v>Fully Meets</v>
      </c>
      <c r="AP126" s="2" t="str">
        <f t="shared" si="11"/>
        <v>FAIBLE</v>
      </c>
    </row>
    <row r="127" spans="1:42">
      <c r="A127" s="2" t="s">
        <v>733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s="2" t="s">
        <v>15</v>
      </c>
      <c r="N127" s="2" t="s">
        <v>16</v>
      </c>
      <c r="O127">
        <v>1886</v>
      </c>
      <c r="P127" s="1">
        <v>27065</v>
      </c>
      <c r="Q127" s="2" t="s">
        <v>44</v>
      </c>
      <c r="R127" s="2" t="s">
        <v>31</v>
      </c>
      <c r="S127" s="2" t="s">
        <v>19</v>
      </c>
      <c r="T127" s="2" t="s">
        <v>20</v>
      </c>
      <c r="U127" s="2" t="s">
        <v>21</v>
      </c>
      <c r="V127" s="1">
        <v>41978</v>
      </c>
      <c r="W127" s="1"/>
      <c r="X127" s="2" t="s">
        <v>22</v>
      </c>
      <c r="Y127" s="2" t="s">
        <v>23</v>
      </c>
      <c r="Z127" s="2" t="s">
        <v>24</v>
      </c>
      <c r="AA127" s="2" t="s">
        <v>59</v>
      </c>
      <c r="AB127">
        <v>11</v>
      </c>
      <c r="AC127" s="2" t="s">
        <v>117</v>
      </c>
      <c r="AD127" s="2" t="s">
        <v>27</v>
      </c>
      <c r="AE127" s="2" t="s">
        <v>286</v>
      </c>
      <c r="AF127">
        <v>4</v>
      </c>
      <c r="AG127">
        <v>0</v>
      </c>
      <c r="AH127" t="s">
        <v>324</v>
      </c>
      <c r="AI127">
        <v>0</v>
      </c>
      <c r="AJ127">
        <v>5</v>
      </c>
      <c r="AK127">
        <f t="shared" ca="1" si="6"/>
        <v>52</v>
      </c>
      <c r="AL127">
        <f t="shared" ca="1" si="7"/>
        <v>11</v>
      </c>
      <c r="AM127" t="str">
        <f t="shared" si="8"/>
        <v>Actif</v>
      </c>
      <c r="AN127" s="2" t="str">
        <f t="shared" ca="1" si="9"/>
        <v>45-59 ans</v>
      </c>
      <c r="AO127" s="2" t="str">
        <f t="shared" si="10"/>
        <v>Exceeds</v>
      </c>
      <c r="AP127" s="2" t="str">
        <f t="shared" si="11"/>
        <v>FAIBLE</v>
      </c>
    </row>
    <row r="128" spans="1:42">
      <c r="A128" s="2" t="s">
        <v>734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s="2" t="s">
        <v>15</v>
      </c>
      <c r="N128" s="2" t="s">
        <v>16</v>
      </c>
      <c r="O128">
        <v>2149</v>
      </c>
      <c r="P128" s="1">
        <v>30773</v>
      </c>
      <c r="Q128" s="2" t="s">
        <v>17</v>
      </c>
      <c r="R128" s="2" t="s">
        <v>18</v>
      </c>
      <c r="S128" s="2" t="s">
        <v>19</v>
      </c>
      <c r="T128" s="2" t="s">
        <v>20</v>
      </c>
      <c r="U128" s="2" t="s">
        <v>21</v>
      </c>
      <c r="V128" s="1">
        <v>41134</v>
      </c>
      <c r="W128" s="1"/>
      <c r="X128" s="2" t="s">
        <v>22</v>
      </c>
      <c r="Y128" s="2" t="s">
        <v>23</v>
      </c>
      <c r="Z128" s="2" t="s">
        <v>24</v>
      </c>
      <c r="AA128" s="2" t="s">
        <v>68</v>
      </c>
      <c r="AB128">
        <v>19</v>
      </c>
      <c r="AC128" s="2" t="s">
        <v>56</v>
      </c>
      <c r="AD128" s="2" t="s">
        <v>39</v>
      </c>
      <c r="AE128" s="2" t="s">
        <v>337</v>
      </c>
      <c r="AF128">
        <v>4</v>
      </c>
      <c r="AG128">
        <v>0</v>
      </c>
      <c r="AH128">
        <v>43771</v>
      </c>
      <c r="AI128">
        <v>0</v>
      </c>
      <c r="AJ128">
        <v>1</v>
      </c>
      <c r="AK128">
        <f t="shared" ca="1" si="6"/>
        <v>42</v>
      </c>
      <c r="AL128">
        <f t="shared" ca="1" si="7"/>
        <v>13</v>
      </c>
      <c r="AM128" t="str">
        <f t="shared" si="8"/>
        <v>Actif</v>
      </c>
      <c r="AN128" s="2" t="str">
        <f t="shared" ca="1" si="9"/>
        <v>30-44 ans</v>
      </c>
      <c r="AO128" s="2" t="str">
        <f t="shared" si="10"/>
        <v>Fully Meets</v>
      </c>
      <c r="AP128" s="2" t="str">
        <f t="shared" si="11"/>
        <v>FAIBLE</v>
      </c>
    </row>
    <row r="129" spans="1:42">
      <c r="A129" s="2" t="s">
        <v>735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s="2" t="s">
        <v>42</v>
      </c>
      <c r="N129" s="2" t="s">
        <v>16</v>
      </c>
      <c r="O129">
        <v>2021</v>
      </c>
      <c r="P129" s="1">
        <v>26538</v>
      </c>
      <c r="Q129" s="2" t="s">
        <v>44</v>
      </c>
      <c r="R129" s="2" t="s">
        <v>18</v>
      </c>
      <c r="S129" s="2" t="s">
        <v>19</v>
      </c>
      <c r="T129" s="2" t="s">
        <v>20</v>
      </c>
      <c r="U129" s="2" t="s">
        <v>21</v>
      </c>
      <c r="V129" s="1">
        <v>40817</v>
      </c>
      <c r="W129" s="1">
        <v>41443</v>
      </c>
      <c r="X129" s="2" t="s">
        <v>46</v>
      </c>
      <c r="Y129" s="2" t="s">
        <v>35</v>
      </c>
      <c r="Z129" s="2" t="s">
        <v>24</v>
      </c>
      <c r="AA129" s="2" t="s">
        <v>93</v>
      </c>
      <c r="AB129">
        <v>18</v>
      </c>
      <c r="AC129" s="2" t="s">
        <v>117</v>
      </c>
      <c r="AD129" s="2" t="s">
        <v>39</v>
      </c>
      <c r="AE129" s="2" t="s">
        <v>57</v>
      </c>
      <c r="AF129">
        <v>3</v>
      </c>
      <c r="AG129">
        <v>0</v>
      </c>
      <c r="AH129" t="s">
        <v>340</v>
      </c>
      <c r="AI129">
        <v>0</v>
      </c>
      <c r="AJ129">
        <v>15</v>
      </c>
      <c r="AK129">
        <f t="shared" ca="1" si="6"/>
        <v>53</v>
      </c>
      <c r="AL129">
        <f t="shared" ca="1" si="7"/>
        <v>1</v>
      </c>
      <c r="AM129" t="str">
        <f t="shared" si="8"/>
        <v>Involontaire</v>
      </c>
      <c r="AN129" s="2" t="str">
        <f t="shared" ca="1" si="9"/>
        <v>45-59 ans</v>
      </c>
      <c r="AO129" s="2" t="str">
        <f t="shared" si="10"/>
        <v>Fully Meets</v>
      </c>
      <c r="AP129" s="2" t="str">
        <f t="shared" si="11"/>
        <v>SURVEILLER</v>
      </c>
    </row>
    <row r="130" spans="1:42">
      <c r="A130" s="2" t="s">
        <v>736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s="2" t="s">
        <v>151</v>
      </c>
      <c r="N130" s="2" t="s">
        <v>341</v>
      </c>
      <c r="O130">
        <v>3062</v>
      </c>
      <c r="P130" s="1">
        <v>32400</v>
      </c>
      <c r="Q130" s="2" t="s">
        <v>17</v>
      </c>
      <c r="R130" s="2" t="s">
        <v>31</v>
      </c>
      <c r="S130" s="2" t="s">
        <v>19</v>
      </c>
      <c r="T130" s="2" t="s">
        <v>20</v>
      </c>
      <c r="U130" s="2" t="s">
        <v>323</v>
      </c>
      <c r="V130" s="1">
        <v>41869</v>
      </c>
      <c r="W130" s="1"/>
      <c r="X130" s="2" t="s">
        <v>22</v>
      </c>
      <c r="Y130" s="2" t="s">
        <v>23</v>
      </c>
      <c r="Z130" s="2" t="s">
        <v>154</v>
      </c>
      <c r="AA130" s="2" t="s">
        <v>155</v>
      </c>
      <c r="AB130">
        <v>17</v>
      </c>
      <c r="AC130" s="2" t="s">
        <v>38</v>
      </c>
      <c r="AD130" s="2" t="s">
        <v>39</v>
      </c>
      <c r="AE130" s="2" t="s">
        <v>343</v>
      </c>
      <c r="AF130">
        <v>5</v>
      </c>
      <c r="AG130">
        <v>0</v>
      </c>
      <c r="AH130" t="s">
        <v>167</v>
      </c>
      <c r="AI130">
        <v>0</v>
      </c>
      <c r="AJ130">
        <v>9</v>
      </c>
      <c r="AK130">
        <f t="shared" ref="AK130:AK193" ca="1" si="12">DATEDIF(P130, TODAY(), "Y")</f>
        <v>37</v>
      </c>
      <c r="AL130">
        <f t="shared" ref="AL130:AL193" ca="1" si="13">INT((IF(K130=0, TODAY(), W130) - V130) / 365.25)</f>
        <v>11</v>
      </c>
      <c r="AM130" t="str">
        <f t="shared" ref="AM130:AM193" si="14">IF(K130=0, "Actif", IF(OR(X130="Another position", X130="more money", X130="unhappy", X130="career change", X130="return to school", X130="relocation out of area", X130="medical issues", X130="military", X130="retiring"), "Volontaire", "Involontaire"))</f>
        <v>Actif</v>
      </c>
      <c r="AN130" s="2" t="str">
        <f t="shared" ref="AN130:AN193" ca="1" si="15">IF(AK130&lt;30, "Moins de 30", IF(AK130&lt;45, "30-44 ans", IF(AK130&lt;60, "45-59 ans", "60 ans et plus")))</f>
        <v>30-44 ans</v>
      </c>
      <c r="AO130" s="2" t="str">
        <f t="shared" ref="AO130:AO193" si="16">IF(H130=1, "PIP", IF(H130=2, "Needs Improvement", IF(H130=3, "Fully Meets", IF(H130=4, "Exceeds", "Non défini"))))</f>
        <v>Fully Meets</v>
      </c>
      <c r="AP130" s="2" t="str">
        <f t="shared" ref="AP130:AP193" si="17">IF(AND(AE130&lt;3, AF130&lt;3, AJ130&gt;15), "CRITIQUE", IF(OR(AE130&lt;3, AJ130&gt;10), "SURVEILLER", "FAIBLE"))</f>
        <v>FAIBLE</v>
      </c>
    </row>
    <row r="131" spans="1:42">
      <c r="A131" s="2" t="s">
        <v>737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s="2" t="s">
        <v>42</v>
      </c>
      <c r="N131" s="2" t="s">
        <v>16</v>
      </c>
      <c r="O131">
        <v>2445</v>
      </c>
      <c r="P131" s="1">
        <v>30728</v>
      </c>
      <c r="Q131" s="2" t="s">
        <v>44</v>
      </c>
      <c r="R131" s="2" t="s">
        <v>31</v>
      </c>
      <c r="S131" s="2" t="s">
        <v>189</v>
      </c>
      <c r="T131" s="2" t="s">
        <v>20</v>
      </c>
      <c r="U131" s="2" t="s">
        <v>21</v>
      </c>
      <c r="V131" s="1">
        <v>40770</v>
      </c>
      <c r="W131" s="1">
        <v>41094</v>
      </c>
      <c r="X131" s="2" t="s">
        <v>186</v>
      </c>
      <c r="Y131" s="2" t="s">
        <v>35</v>
      </c>
      <c r="Z131" s="2" t="s">
        <v>24</v>
      </c>
      <c r="AA131" s="2" t="s">
        <v>25</v>
      </c>
      <c r="AB131">
        <v>30</v>
      </c>
      <c r="AC131" s="2" t="s">
        <v>38</v>
      </c>
      <c r="AD131" s="2" t="s">
        <v>39</v>
      </c>
      <c r="AE131" s="2" t="s">
        <v>345</v>
      </c>
      <c r="AF131">
        <v>5</v>
      </c>
      <c r="AG131">
        <v>0</v>
      </c>
      <c r="AH131">
        <v>41032</v>
      </c>
      <c r="AI131">
        <v>0</v>
      </c>
      <c r="AJ131">
        <v>16</v>
      </c>
      <c r="AK131">
        <f t="shared" ca="1" si="12"/>
        <v>42</v>
      </c>
      <c r="AL131">
        <f t="shared" ca="1" si="13"/>
        <v>0</v>
      </c>
      <c r="AM131" t="str">
        <f t="shared" si="14"/>
        <v>Volontaire</v>
      </c>
      <c r="AN131" s="2" t="str">
        <f t="shared" ca="1" si="15"/>
        <v>30-44 ans</v>
      </c>
      <c r="AO131" s="2" t="str">
        <f t="shared" si="16"/>
        <v>Fully Meets</v>
      </c>
      <c r="AP131" s="2" t="str">
        <f t="shared" si="17"/>
        <v>SURVEILLER</v>
      </c>
    </row>
    <row r="132" spans="1:42">
      <c r="A132" s="2" t="s">
        <v>738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s="2" t="s">
        <v>107</v>
      </c>
      <c r="N132" s="2" t="s">
        <v>16</v>
      </c>
      <c r="O132">
        <v>2493</v>
      </c>
      <c r="P132" s="1">
        <v>30733</v>
      </c>
      <c r="Q132" s="2" t="s">
        <v>44</v>
      </c>
      <c r="R132" s="2" t="s">
        <v>18</v>
      </c>
      <c r="S132" s="2" t="s">
        <v>19</v>
      </c>
      <c r="T132" s="2" t="s">
        <v>20</v>
      </c>
      <c r="U132" s="2" t="s">
        <v>21</v>
      </c>
      <c r="V132" s="1">
        <v>42093</v>
      </c>
      <c r="W132" s="1"/>
      <c r="X132" s="2" t="s">
        <v>22</v>
      </c>
      <c r="Y132" s="2" t="s">
        <v>23</v>
      </c>
      <c r="Z132" s="2" t="s">
        <v>36</v>
      </c>
      <c r="AA132" s="2" t="s">
        <v>37</v>
      </c>
      <c r="AB132">
        <v>4</v>
      </c>
      <c r="AC132" s="2" t="s">
        <v>38</v>
      </c>
      <c r="AD132" s="2" t="s">
        <v>39</v>
      </c>
      <c r="AE132" s="2" t="s">
        <v>347</v>
      </c>
      <c r="AF132">
        <v>5</v>
      </c>
      <c r="AG132">
        <v>6</v>
      </c>
      <c r="AH132">
        <v>43525</v>
      </c>
      <c r="AI132">
        <v>0</v>
      </c>
      <c r="AJ132">
        <v>4</v>
      </c>
      <c r="AK132">
        <f t="shared" ca="1" si="12"/>
        <v>42</v>
      </c>
      <c r="AL132">
        <f t="shared" ca="1" si="13"/>
        <v>11</v>
      </c>
      <c r="AM132" t="str">
        <f t="shared" si="14"/>
        <v>Actif</v>
      </c>
      <c r="AN132" s="2" t="str">
        <f t="shared" ca="1" si="15"/>
        <v>30-44 ans</v>
      </c>
      <c r="AO132" s="2" t="str">
        <f t="shared" si="16"/>
        <v>Fully Meets</v>
      </c>
      <c r="AP132" s="2" t="str">
        <f t="shared" si="17"/>
        <v>FAIBLE</v>
      </c>
    </row>
    <row r="133" spans="1:42">
      <c r="A133" s="2" t="s">
        <v>739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s="2" t="s">
        <v>348</v>
      </c>
      <c r="N133" s="2" t="s">
        <v>349</v>
      </c>
      <c r="O133">
        <v>2908</v>
      </c>
      <c r="P133" s="1">
        <v>24183</v>
      </c>
      <c r="Q133" s="2" t="s">
        <v>44</v>
      </c>
      <c r="R133" s="2" t="s">
        <v>31</v>
      </c>
      <c r="S133" s="2" t="s">
        <v>19</v>
      </c>
      <c r="T133" s="2" t="s">
        <v>20</v>
      </c>
      <c r="U133" s="2" t="s">
        <v>21</v>
      </c>
      <c r="V133" s="1">
        <v>41764</v>
      </c>
      <c r="W133" s="1"/>
      <c r="X133" s="2" t="s">
        <v>22</v>
      </c>
      <c r="Y133" s="2" t="s">
        <v>23</v>
      </c>
      <c r="Z133" s="2" t="s">
        <v>154</v>
      </c>
      <c r="AA133" s="2" t="s">
        <v>135</v>
      </c>
      <c r="AB133">
        <v>2</v>
      </c>
      <c r="AC133" s="2" t="s">
        <v>26</v>
      </c>
      <c r="AD133" s="2" t="s">
        <v>39</v>
      </c>
      <c r="AE133" s="2" t="s">
        <v>109</v>
      </c>
      <c r="AF133">
        <v>4</v>
      </c>
      <c r="AG133">
        <v>0</v>
      </c>
      <c r="AH133" t="s">
        <v>150</v>
      </c>
      <c r="AI133">
        <v>0</v>
      </c>
      <c r="AJ133">
        <v>19</v>
      </c>
      <c r="AK133">
        <f t="shared" ca="1" si="12"/>
        <v>60</v>
      </c>
      <c r="AL133">
        <f t="shared" ca="1" si="13"/>
        <v>11</v>
      </c>
      <c r="AM133" t="str">
        <f t="shared" si="14"/>
        <v>Actif</v>
      </c>
      <c r="AN133" s="2" t="str">
        <f t="shared" ca="1" si="15"/>
        <v>60 ans et plus</v>
      </c>
      <c r="AO133" s="2" t="str">
        <f t="shared" si="16"/>
        <v>Fully Meets</v>
      </c>
      <c r="AP133" s="2" t="str">
        <f t="shared" si="17"/>
        <v>SURVEILLER</v>
      </c>
    </row>
    <row r="134" spans="1:42">
      <c r="A134" s="2" t="s">
        <v>740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s="2" t="s">
        <v>351</v>
      </c>
      <c r="N134" s="2" t="s">
        <v>16</v>
      </c>
      <c r="O134">
        <v>2170</v>
      </c>
      <c r="P134" s="1">
        <v>31306</v>
      </c>
      <c r="Q134" s="2" t="s">
        <v>44</v>
      </c>
      <c r="R134" s="2" t="s">
        <v>31</v>
      </c>
      <c r="S134" s="2" t="s">
        <v>19</v>
      </c>
      <c r="T134" s="2" t="s">
        <v>20</v>
      </c>
      <c r="U134" s="2" t="s">
        <v>71</v>
      </c>
      <c r="V134" s="1">
        <v>42051</v>
      </c>
      <c r="W134" s="1">
        <v>42109</v>
      </c>
      <c r="X134" s="2" t="s">
        <v>269</v>
      </c>
      <c r="Y134" s="2" t="s">
        <v>100</v>
      </c>
      <c r="Z134" s="2" t="s">
        <v>131</v>
      </c>
      <c r="AA134" s="2" t="s">
        <v>132</v>
      </c>
      <c r="AB134">
        <v>1</v>
      </c>
      <c r="AC134" s="2" t="s">
        <v>38</v>
      </c>
      <c r="AD134" s="2" t="s">
        <v>39</v>
      </c>
      <c r="AE134" s="2" t="s">
        <v>354</v>
      </c>
      <c r="AF134">
        <v>3</v>
      </c>
      <c r="AG134">
        <v>4</v>
      </c>
      <c r="AH134" t="s">
        <v>353</v>
      </c>
      <c r="AI134">
        <v>0</v>
      </c>
      <c r="AJ134">
        <v>6</v>
      </c>
      <c r="AK134">
        <f t="shared" ca="1" si="12"/>
        <v>40</v>
      </c>
      <c r="AL134">
        <f t="shared" ca="1" si="13"/>
        <v>0</v>
      </c>
      <c r="AM134" t="str">
        <f t="shared" si="14"/>
        <v>Involontaire</v>
      </c>
      <c r="AN134" s="2" t="str">
        <f t="shared" ca="1" si="15"/>
        <v>30-44 ans</v>
      </c>
      <c r="AO134" s="2" t="str">
        <f t="shared" si="16"/>
        <v>Fully Meets</v>
      </c>
      <c r="AP134" s="2" t="str">
        <f t="shared" si="17"/>
        <v>FAIBLE</v>
      </c>
    </row>
    <row r="135" spans="1:42">
      <c r="A135" s="2" t="s">
        <v>741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s="2" t="s">
        <v>15</v>
      </c>
      <c r="N135" s="2" t="s">
        <v>16</v>
      </c>
      <c r="O135">
        <v>2176</v>
      </c>
      <c r="P135" s="1">
        <v>31691</v>
      </c>
      <c r="Q135" s="2" t="s">
        <v>44</v>
      </c>
      <c r="R135" s="2" t="s">
        <v>18</v>
      </c>
      <c r="S135" s="2" t="s">
        <v>19</v>
      </c>
      <c r="T135" s="2" t="s">
        <v>20</v>
      </c>
      <c r="U135" s="2" t="s">
        <v>21</v>
      </c>
      <c r="V135" s="1">
        <v>40959</v>
      </c>
      <c r="W135" s="1"/>
      <c r="X135" s="2" t="s">
        <v>22</v>
      </c>
      <c r="Y135" s="2" t="s">
        <v>23</v>
      </c>
      <c r="Z135" s="2" t="s">
        <v>24</v>
      </c>
      <c r="AA135" s="2" t="s">
        <v>68</v>
      </c>
      <c r="AB135">
        <v>19</v>
      </c>
      <c r="AC135" s="2" t="s">
        <v>26</v>
      </c>
      <c r="AD135" s="2" t="s">
        <v>39</v>
      </c>
      <c r="AE135" s="2" t="s">
        <v>121</v>
      </c>
      <c r="AF135">
        <v>4</v>
      </c>
      <c r="AG135">
        <v>0</v>
      </c>
      <c r="AH135">
        <v>43647</v>
      </c>
      <c r="AI135">
        <v>0</v>
      </c>
      <c r="AJ135">
        <v>4</v>
      </c>
      <c r="AK135">
        <f t="shared" ca="1" si="12"/>
        <v>39</v>
      </c>
      <c r="AL135">
        <f t="shared" ca="1" si="13"/>
        <v>14</v>
      </c>
      <c r="AM135" t="str">
        <f t="shared" si="14"/>
        <v>Actif</v>
      </c>
      <c r="AN135" s="2" t="str">
        <f t="shared" ca="1" si="15"/>
        <v>30-44 ans</v>
      </c>
      <c r="AO135" s="2" t="str">
        <f t="shared" si="16"/>
        <v>Fully Meets</v>
      </c>
      <c r="AP135" s="2" t="str">
        <f t="shared" si="17"/>
        <v>FAIBLE</v>
      </c>
    </row>
    <row r="136" spans="1:42">
      <c r="A136" s="2" t="s">
        <v>742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s="2" t="s">
        <v>42</v>
      </c>
      <c r="N136" s="2" t="s">
        <v>16</v>
      </c>
      <c r="O136">
        <v>2021</v>
      </c>
      <c r="P136" s="1">
        <v>30989</v>
      </c>
      <c r="Q136" s="2" t="s">
        <v>44</v>
      </c>
      <c r="R136" s="2" t="s">
        <v>18</v>
      </c>
      <c r="S136" s="2" t="s">
        <v>19</v>
      </c>
      <c r="T136" s="2" t="s">
        <v>20</v>
      </c>
      <c r="U136" s="2" t="s">
        <v>21</v>
      </c>
      <c r="V136" s="1">
        <v>42527</v>
      </c>
      <c r="W136" s="1"/>
      <c r="X136" s="2" t="s">
        <v>22</v>
      </c>
      <c r="Y136" s="2" t="s">
        <v>23</v>
      </c>
      <c r="Z136" s="2" t="s">
        <v>24</v>
      </c>
      <c r="AA136" s="2" t="s">
        <v>51</v>
      </c>
      <c r="AB136">
        <v>16</v>
      </c>
      <c r="AC136" s="2" t="s">
        <v>26</v>
      </c>
      <c r="AD136" s="2" t="s">
        <v>39</v>
      </c>
      <c r="AE136" s="2" t="s">
        <v>181</v>
      </c>
      <c r="AF136">
        <v>5</v>
      </c>
      <c r="AG136">
        <v>0</v>
      </c>
      <c r="AH136" t="s">
        <v>248</v>
      </c>
      <c r="AI136">
        <v>0</v>
      </c>
      <c r="AJ136">
        <v>4</v>
      </c>
      <c r="AK136">
        <f t="shared" ca="1" si="12"/>
        <v>41</v>
      </c>
      <c r="AL136">
        <f t="shared" ca="1" si="13"/>
        <v>9</v>
      </c>
      <c r="AM136" t="str">
        <f t="shared" si="14"/>
        <v>Actif</v>
      </c>
      <c r="AN136" s="2" t="str">
        <f t="shared" ca="1" si="15"/>
        <v>30-44 ans</v>
      </c>
      <c r="AO136" s="2" t="str">
        <f t="shared" si="16"/>
        <v>Fully Meets</v>
      </c>
      <c r="AP136" s="2" t="str">
        <f t="shared" si="17"/>
        <v>FAIBLE</v>
      </c>
    </row>
    <row r="137" spans="1:42">
      <c r="A137" s="2" t="s">
        <v>743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s="2" t="s">
        <v>42</v>
      </c>
      <c r="N137" s="2" t="s">
        <v>16</v>
      </c>
      <c r="O137">
        <v>2351</v>
      </c>
      <c r="P137" s="1">
        <v>33790</v>
      </c>
      <c r="Q137" s="2" t="s">
        <v>44</v>
      </c>
      <c r="R137" s="2" t="s">
        <v>149</v>
      </c>
      <c r="S137" s="2" t="s">
        <v>19</v>
      </c>
      <c r="T137" s="2" t="s">
        <v>20</v>
      </c>
      <c r="U137" s="2" t="s">
        <v>21</v>
      </c>
      <c r="V137" s="1">
        <v>42130</v>
      </c>
      <c r="W137" s="1"/>
      <c r="X137" s="2" t="s">
        <v>22</v>
      </c>
      <c r="Y137" s="2" t="s">
        <v>23</v>
      </c>
      <c r="Z137" s="2" t="s">
        <v>24</v>
      </c>
      <c r="AA137" s="2" t="s">
        <v>55</v>
      </c>
      <c r="AC137" s="2" t="s">
        <v>38</v>
      </c>
      <c r="AD137" s="2" t="s">
        <v>39</v>
      </c>
      <c r="AE137" s="2" t="s">
        <v>109</v>
      </c>
      <c r="AF137">
        <v>3</v>
      </c>
      <c r="AG137">
        <v>0</v>
      </c>
      <c r="AH137" t="s">
        <v>94</v>
      </c>
      <c r="AI137">
        <v>0</v>
      </c>
      <c r="AJ137">
        <v>6</v>
      </c>
      <c r="AK137">
        <f t="shared" ca="1" si="12"/>
        <v>33</v>
      </c>
      <c r="AL137">
        <f t="shared" ca="1" si="13"/>
        <v>10</v>
      </c>
      <c r="AM137" t="str">
        <f t="shared" si="14"/>
        <v>Actif</v>
      </c>
      <c r="AN137" s="2" t="str">
        <f t="shared" ca="1" si="15"/>
        <v>30-44 ans</v>
      </c>
      <c r="AO137" s="2" t="str">
        <f t="shared" si="16"/>
        <v>Fully Meets</v>
      </c>
      <c r="AP137" s="2" t="str">
        <f t="shared" si="17"/>
        <v>FAIBLE</v>
      </c>
    </row>
    <row r="138" spans="1:42">
      <c r="A138" s="2" t="s">
        <v>744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s="2" t="s">
        <v>42</v>
      </c>
      <c r="N138" s="2" t="s">
        <v>16</v>
      </c>
      <c r="O138">
        <v>1742</v>
      </c>
      <c r="P138" s="1">
        <v>28025</v>
      </c>
      <c r="Q138" s="2" t="s">
        <v>44</v>
      </c>
      <c r="R138" s="2" t="s">
        <v>53</v>
      </c>
      <c r="S138" s="2" t="s">
        <v>19</v>
      </c>
      <c r="T138" s="2" t="s">
        <v>20</v>
      </c>
      <c r="U138" s="2" t="s">
        <v>21</v>
      </c>
      <c r="V138" s="1">
        <v>40595</v>
      </c>
      <c r="W138" s="1">
        <v>41278</v>
      </c>
      <c r="X138" s="2" t="s">
        <v>86</v>
      </c>
      <c r="Y138" s="2" t="s">
        <v>35</v>
      </c>
      <c r="Z138" s="2" t="s">
        <v>24</v>
      </c>
      <c r="AA138" s="2" t="s">
        <v>59</v>
      </c>
      <c r="AB138">
        <v>11</v>
      </c>
      <c r="AC138" s="2" t="s">
        <v>56</v>
      </c>
      <c r="AD138" s="2" t="s">
        <v>39</v>
      </c>
      <c r="AE138" s="2" t="s">
        <v>356</v>
      </c>
      <c r="AF138">
        <v>3</v>
      </c>
      <c r="AG138">
        <v>0</v>
      </c>
      <c r="AH138">
        <v>41276</v>
      </c>
      <c r="AI138">
        <v>0</v>
      </c>
      <c r="AJ138">
        <v>18</v>
      </c>
      <c r="AK138">
        <f t="shared" ca="1" si="12"/>
        <v>49</v>
      </c>
      <c r="AL138">
        <f t="shared" ca="1" si="13"/>
        <v>1</v>
      </c>
      <c r="AM138" t="str">
        <f t="shared" si="14"/>
        <v>Volontaire</v>
      </c>
      <c r="AN138" s="2" t="str">
        <f t="shared" ca="1" si="15"/>
        <v>45-59 ans</v>
      </c>
      <c r="AO138" s="2" t="str">
        <f t="shared" si="16"/>
        <v>Fully Meets</v>
      </c>
      <c r="AP138" s="2" t="str">
        <f t="shared" si="17"/>
        <v>SURVEILLER</v>
      </c>
    </row>
    <row r="139" spans="1:42">
      <c r="A139" s="2" t="s">
        <v>745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s="2" t="s">
        <v>133</v>
      </c>
      <c r="N139" s="2" t="s">
        <v>16</v>
      </c>
      <c r="O139">
        <v>2128</v>
      </c>
      <c r="P139" s="1">
        <v>28079</v>
      </c>
      <c r="Q139" s="2" t="s">
        <v>17</v>
      </c>
      <c r="R139" s="2" t="s">
        <v>31</v>
      </c>
      <c r="S139" s="2" t="s">
        <v>19</v>
      </c>
      <c r="T139" s="2" t="s">
        <v>20</v>
      </c>
      <c r="U139" s="2" t="s">
        <v>111</v>
      </c>
      <c r="V139" s="1">
        <v>40595</v>
      </c>
      <c r="W139" s="1">
        <v>41176</v>
      </c>
      <c r="X139" s="2" t="s">
        <v>86</v>
      </c>
      <c r="Y139" s="2" t="s">
        <v>35</v>
      </c>
      <c r="Z139" s="2" t="s">
        <v>24</v>
      </c>
      <c r="AA139" s="2" t="s">
        <v>135</v>
      </c>
      <c r="AB139">
        <v>2</v>
      </c>
      <c r="AC139" s="2" t="s">
        <v>38</v>
      </c>
      <c r="AD139" s="2" t="s">
        <v>118</v>
      </c>
      <c r="AE139" s="2" t="s">
        <v>358</v>
      </c>
      <c r="AF139">
        <v>2</v>
      </c>
      <c r="AG139">
        <v>0</v>
      </c>
      <c r="AH139">
        <v>41247</v>
      </c>
      <c r="AI139">
        <v>3</v>
      </c>
      <c r="AJ139">
        <v>4</v>
      </c>
      <c r="AK139">
        <f t="shared" ca="1" si="12"/>
        <v>49</v>
      </c>
      <c r="AL139">
        <f t="shared" ca="1" si="13"/>
        <v>1</v>
      </c>
      <c r="AM139" t="str">
        <f t="shared" si="14"/>
        <v>Volontaire</v>
      </c>
      <c r="AN139" s="2" t="str">
        <f t="shared" ca="1" si="15"/>
        <v>45-59 ans</v>
      </c>
      <c r="AO139" s="2" t="str">
        <f t="shared" si="16"/>
        <v>Needs Improvement</v>
      </c>
      <c r="AP139" s="2" t="str">
        <f t="shared" si="17"/>
        <v>FAIBLE</v>
      </c>
    </row>
    <row r="140" spans="1:42">
      <c r="A140" s="2" t="s">
        <v>746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s="2" t="s">
        <v>15</v>
      </c>
      <c r="N140" s="2" t="s">
        <v>16</v>
      </c>
      <c r="O140">
        <v>1775</v>
      </c>
      <c r="P140" s="1">
        <v>33266</v>
      </c>
      <c r="Q140" s="2" t="s">
        <v>44</v>
      </c>
      <c r="R140" s="2" t="s">
        <v>18</v>
      </c>
      <c r="S140" s="2" t="s">
        <v>19</v>
      </c>
      <c r="T140" s="2" t="s">
        <v>20</v>
      </c>
      <c r="U140" s="2" t="s">
        <v>21</v>
      </c>
      <c r="V140" s="1">
        <v>41505</v>
      </c>
      <c r="W140" s="1"/>
      <c r="X140" s="2" t="s">
        <v>22</v>
      </c>
      <c r="Y140" s="2" t="s">
        <v>23</v>
      </c>
      <c r="Z140" s="2" t="s">
        <v>24</v>
      </c>
      <c r="AA140" s="2" t="s">
        <v>72</v>
      </c>
      <c r="AB140">
        <v>12</v>
      </c>
      <c r="AC140" s="2" t="s">
        <v>38</v>
      </c>
      <c r="AD140" s="2" t="s">
        <v>39</v>
      </c>
      <c r="AE140" s="2" t="s">
        <v>360</v>
      </c>
      <c r="AF140">
        <v>3</v>
      </c>
      <c r="AG140">
        <v>0</v>
      </c>
      <c r="AH140" t="s">
        <v>104</v>
      </c>
      <c r="AI140">
        <v>0</v>
      </c>
      <c r="AJ140">
        <v>14</v>
      </c>
      <c r="AK140">
        <f t="shared" ca="1" si="12"/>
        <v>35</v>
      </c>
      <c r="AL140">
        <f t="shared" ca="1" si="13"/>
        <v>12</v>
      </c>
      <c r="AM140" t="str">
        <f t="shared" si="14"/>
        <v>Actif</v>
      </c>
      <c r="AN140" s="2" t="str">
        <f t="shared" ca="1" si="15"/>
        <v>30-44 ans</v>
      </c>
      <c r="AO140" s="2" t="str">
        <f t="shared" si="16"/>
        <v>Fully Meets</v>
      </c>
      <c r="AP140" s="2" t="str">
        <f t="shared" si="17"/>
        <v>SURVEILLER</v>
      </c>
    </row>
    <row r="141" spans="1:42">
      <c r="A141" s="2" t="s">
        <v>747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s="2" t="s">
        <v>15</v>
      </c>
      <c r="N141" s="2" t="s">
        <v>16</v>
      </c>
      <c r="O141">
        <v>2081</v>
      </c>
      <c r="P141" s="1">
        <v>26612</v>
      </c>
      <c r="Q141" s="2" t="s">
        <v>44</v>
      </c>
      <c r="R141" s="2" t="s">
        <v>18</v>
      </c>
      <c r="S141" s="2" t="s">
        <v>19</v>
      </c>
      <c r="T141" s="2" t="s">
        <v>20</v>
      </c>
      <c r="U141" s="2" t="s">
        <v>71</v>
      </c>
      <c r="V141" s="1">
        <v>41040</v>
      </c>
      <c r="W141" s="1"/>
      <c r="X141" s="2" t="s">
        <v>22</v>
      </c>
      <c r="Y141" s="2" t="s">
        <v>23</v>
      </c>
      <c r="Z141" s="2" t="s">
        <v>24</v>
      </c>
      <c r="AA141" s="2" t="s">
        <v>81</v>
      </c>
      <c r="AB141">
        <v>14</v>
      </c>
      <c r="AC141" s="2" t="s">
        <v>26</v>
      </c>
      <c r="AD141" s="2" t="s">
        <v>39</v>
      </c>
      <c r="AE141" s="2" t="s">
        <v>199</v>
      </c>
      <c r="AF141">
        <v>3</v>
      </c>
      <c r="AG141">
        <v>0</v>
      </c>
      <c r="AH141" t="s">
        <v>29</v>
      </c>
      <c r="AI141">
        <v>0</v>
      </c>
      <c r="AJ141">
        <v>7</v>
      </c>
      <c r="AK141">
        <f t="shared" ca="1" si="12"/>
        <v>53</v>
      </c>
      <c r="AL141">
        <f t="shared" ca="1" si="13"/>
        <v>13</v>
      </c>
      <c r="AM141" t="str">
        <f t="shared" si="14"/>
        <v>Actif</v>
      </c>
      <c r="AN141" s="2" t="str">
        <f t="shared" ca="1" si="15"/>
        <v>45-59 ans</v>
      </c>
      <c r="AO141" s="2" t="str">
        <f t="shared" si="16"/>
        <v>Fully Meets</v>
      </c>
      <c r="AP141" s="2" t="str">
        <f t="shared" si="17"/>
        <v>FAIBLE</v>
      </c>
    </row>
    <row r="142" spans="1:42">
      <c r="A142" s="2" t="s">
        <v>748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s="2" t="s">
        <v>15</v>
      </c>
      <c r="N142" s="2" t="s">
        <v>16</v>
      </c>
      <c r="O142">
        <v>1778</v>
      </c>
      <c r="P142" s="1">
        <v>24188</v>
      </c>
      <c r="Q142" s="2" t="s">
        <v>44</v>
      </c>
      <c r="R142" s="2" t="s">
        <v>53</v>
      </c>
      <c r="S142" s="2" t="s">
        <v>19</v>
      </c>
      <c r="T142" s="2" t="s">
        <v>20</v>
      </c>
      <c r="U142" s="2" t="s">
        <v>21</v>
      </c>
      <c r="V142" s="1">
        <v>41547</v>
      </c>
      <c r="W142" s="1"/>
      <c r="X142" s="2" t="s">
        <v>22</v>
      </c>
      <c r="Y142" s="2" t="s">
        <v>23</v>
      </c>
      <c r="Z142" s="2" t="s">
        <v>24</v>
      </c>
      <c r="AA142" s="2" t="s">
        <v>47</v>
      </c>
      <c r="AB142">
        <v>20</v>
      </c>
      <c r="AC142" s="2" t="s">
        <v>69</v>
      </c>
      <c r="AD142" s="2" t="s">
        <v>39</v>
      </c>
      <c r="AE142" s="2" t="s">
        <v>187</v>
      </c>
      <c r="AF142">
        <v>5</v>
      </c>
      <c r="AG142">
        <v>0</v>
      </c>
      <c r="AH142" t="s">
        <v>166</v>
      </c>
      <c r="AI142">
        <v>0</v>
      </c>
      <c r="AJ142">
        <v>7</v>
      </c>
      <c r="AK142">
        <f t="shared" ca="1" si="12"/>
        <v>60</v>
      </c>
      <c r="AL142">
        <f t="shared" ca="1" si="13"/>
        <v>12</v>
      </c>
      <c r="AM142" t="str">
        <f t="shared" si="14"/>
        <v>Actif</v>
      </c>
      <c r="AN142" s="2" t="str">
        <f t="shared" ca="1" si="15"/>
        <v>60 ans et plus</v>
      </c>
      <c r="AO142" s="2" t="str">
        <f t="shared" si="16"/>
        <v>Fully Meets</v>
      </c>
      <c r="AP142" s="2" t="str">
        <f t="shared" si="17"/>
        <v>FAIBLE</v>
      </c>
    </row>
    <row r="143" spans="1:42">
      <c r="A143" s="2" t="s">
        <v>749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s="2" t="s">
        <v>42</v>
      </c>
      <c r="N143" s="2" t="s">
        <v>16</v>
      </c>
      <c r="O143">
        <v>1821</v>
      </c>
      <c r="P143" s="1">
        <v>31574</v>
      </c>
      <c r="Q143" s="2" t="s">
        <v>44</v>
      </c>
      <c r="R143" s="2" t="s">
        <v>53</v>
      </c>
      <c r="S143" s="2" t="s">
        <v>19</v>
      </c>
      <c r="T143" s="2" t="s">
        <v>20</v>
      </c>
      <c r="U143" s="2" t="s">
        <v>323</v>
      </c>
      <c r="V143" s="1">
        <v>40670</v>
      </c>
      <c r="W143" s="1"/>
      <c r="X143" s="2" t="s">
        <v>22</v>
      </c>
      <c r="Y143" s="2" t="s">
        <v>23</v>
      </c>
      <c r="Z143" s="2" t="s">
        <v>24</v>
      </c>
      <c r="AA143" s="2" t="s">
        <v>68</v>
      </c>
      <c r="AB143">
        <v>19</v>
      </c>
      <c r="AC143" s="2" t="s">
        <v>26</v>
      </c>
      <c r="AD143" s="2" t="s">
        <v>27</v>
      </c>
      <c r="AE143" s="2" t="s">
        <v>28</v>
      </c>
      <c r="AF143">
        <v>4</v>
      </c>
      <c r="AG143">
        <v>0</v>
      </c>
      <c r="AH143" t="s">
        <v>70</v>
      </c>
      <c r="AI143">
        <v>0</v>
      </c>
      <c r="AJ143">
        <v>11</v>
      </c>
      <c r="AK143">
        <f t="shared" ca="1" si="12"/>
        <v>39</v>
      </c>
      <c r="AL143">
        <f t="shared" ca="1" si="13"/>
        <v>14</v>
      </c>
      <c r="AM143" t="str">
        <f t="shared" si="14"/>
        <v>Actif</v>
      </c>
      <c r="AN143" s="2" t="str">
        <f t="shared" ca="1" si="15"/>
        <v>30-44 ans</v>
      </c>
      <c r="AO143" s="2" t="str">
        <f t="shared" si="16"/>
        <v>Exceeds</v>
      </c>
      <c r="AP143" s="2" t="str">
        <f t="shared" si="17"/>
        <v>SURVEILLER</v>
      </c>
    </row>
    <row r="144" spans="1:42">
      <c r="A144" s="2" t="s">
        <v>750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s="2" t="s">
        <v>15</v>
      </c>
      <c r="N144" s="2" t="s">
        <v>16</v>
      </c>
      <c r="O144">
        <v>2109</v>
      </c>
      <c r="P144" s="1">
        <v>23480</v>
      </c>
      <c r="Q144" s="2" t="s">
        <v>44</v>
      </c>
      <c r="R144" s="2" t="s">
        <v>149</v>
      </c>
      <c r="S144" s="2" t="s">
        <v>19</v>
      </c>
      <c r="T144" s="2" t="s">
        <v>20</v>
      </c>
      <c r="U144" s="2" t="s">
        <v>21</v>
      </c>
      <c r="V144" s="1">
        <v>41791</v>
      </c>
      <c r="W144" s="1"/>
      <c r="X144" s="2" t="s">
        <v>22</v>
      </c>
      <c r="Y144" s="2" t="s">
        <v>23</v>
      </c>
      <c r="Z144" s="2" t="s">
        <v>24</v>
      </c>
      <c r="AA144" s="2" t="s">
        <v>93</v>
      </c>
      <c r="AB144">
        <v>18</v>
      </c>
      <c r="AC144" s="2" t="s">
        <v>26</v>
      </c>
      <c r="AD144" s="2" t="s">
        <v>39</v>
      </c>
      <c r="AE144" s="2" t="s">
        <v>57</v>
      </c>
      <c r="AF144">
        <v>5</v>
      </c>
      <c r="AG144">
        <v>0</v>
      </c>
      <c r="AH144" t="s">
        <v>150</v>
      </c>
      <c r="AI144">
        <v>0</v>
      </c>
      <c r="AJ144">
        <v>9</v>
      </c>
      <c r="AK144">
        <f t="shared" ca="1" si="12"/>
        <v>61</v>
      </c>
      <c r="AL144">
        <f t="shared" ca="1" si="13"/>
        <v>11</v>
      </c>
      <c r="AM144" t="str">
        <f t="shared" si="14"/>
        <v>Actif</v>
      </c>
      <c r="AN144" s="2" t="str">
        <f t="shared" ca="1" si="15"/>
        <v>60 ans et plus</v>
      </c>
      <c r="AO144" s="2" t="str">
        <f t="shared" si="16"/>
        <v>Fully Meets</v>
      </c>
      <c r="AP144" s="2" t="str">
        <f t="shared" si="17"/>
        <v>FAIBLE</v>
      </c>
    </row>
    <row r="145" spans="1:42">
      <c r="A145" s="2" t="s">
        <v>751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s="2" t="s">
        <v>15</v>
      </c>
      <c r="N145" s="2" t="s">
        <v>16</v>
      </c>
      <c r="O145">
        <v>2445</v>
      </c>
      <c r="P145" s="1">
        <v>21781</v>
      </c>
      <c r="Q145" s="2" t="s">
        <v>17</v>
      </c>
      <c r="R145" s="2" t="s">
        <v>31</v>
      </c>
      <c r="S145" s="2" t="s">
        <v>19</v>
      </c>
      <c r="T145" s="2" t="s">
        <v>20</v>
      </c>
      <c r="U145" s="2" t="s">
        <v>21</v>
      </c>
      <c r="V145" s="1">
        <v>40735</v>
      </c>
      <c r="W145" s="1">
        <v>43219</v>
      </c>
      <c r="X145" s="2" t="s">
        <v>233</v>
      </c>
      <c r="Y145" s="2" t="s">
        <v>35</v>
      </c>
      <c r="Z145" s="2" t="s">
        <v>24</v>
      </c>
      <c r="AA145" s="2" t="s">
        <v>25</v>
      </c>
      <c r="AB145">
        <v>22</v>
      </c>
      <c r="AC145" s="2" t="s">
        <v>117</v>
      </c>
      <c r="AD145" s="2" t="s">
        <v>27</v>
      </c>
      <c r="AE145" s="2" t="s">
        <v>192</v>
      </c>
      <c r="AF145">
        <v>4</v>
      </c>
      <c r="AG145">
        <v>0</v>
      </c>
      <c r="AH145" t="s">
        <v>365</v>
      </c>
      <c r="AI145">
        <v>0</v>
      </c>
      <c r="AJ145">
        <v>9</v>
      </c>
      <c r="AK145">
        <f t="shared" ca="1" si="12"/>
        <v>66</v>
      </c>
      <c r="AL145">
        <f t="shared" ca="1" si="13"/>
        <v>6</v>
      </c>
      <c r="AM145" t="str">
        <f t="shared" si="14"/>
        <v>Volontaire</v>
      </c>
      <c r="AN145" s="2" t="str">
        <f t="shared" ca="1" si="15"/>
        <v>60 ans et plus</v>
      </c>
      <c r="AO145" s="2" t="str">
        <f t="shared" si="16"/>
        <v>Exceeds</v>
      </c>
      <c r="AP145" s="2" t="str">
        <f t="shared" si="17"/>
        <v>FAIBLE</v>
      </c>
    </row>
    <row r="146" spans="1:42">
      <c r="A146" s="2" t="s">
        <v>752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s="2" t="s">
        <v>107</v>
      </c>
      <c r="N146" s="2" t="s">
        <v>16</v>
      </c>
      <c r="O146">
        <v>2301</v>
      </c>
      <c r="P146" s="1">
        <v>31604</v>
      </c>
      <c r="Q146" s="2" t="s">
        <v>44</v>
      </c>
      <c r="R146" s="2" t="s">
        <v>31</v>
      </c>
      <c r="S146" s="2" t="s">
        <v>19</v>
      </c>
      <c r="T146" s="2" t="s">
        <v>20</v>
      </c>
      <c r="U146" s="2" t="s">
        <v>111</v>
      </c>
      <c r="V146" s="1">
        <v>42125</v>
      </c>
      <c r="W146" s="1"/>
      <c r="X146" s="2" t="s">
        <v>22</v>
      </c>
      <c r="Y146" s="2" t="s">
        <v>23</v>
      </c>
      <c r="Z146" s="2" t="s">
        <v>36</v>
      </c>
      <c r="AA146" s="2" t="s">
        <v>37</v>
      </c>
      <c r="AB146">
        <v>4</v>
      </c>
      <c r="AC146" s="2" t="s">
        <v>38</v>
      </c>
      <c r="AD146" s="2" t="s">
        <v>39</v>
      </c>
      <c r="AE146" s="2" t="s">
        <v>366</v>
      </c>
      <c r="AF146">
        <v>3</v>
      </c>
      <c r="AG146">
        <v>5</v>
      </c>
      <c r="AH146">
        <v>43771</v>
      </c>
      <c r="AI146">
        <v>0</v>
      </c>
      <c r="AJ146">
        <v>2</v>
      </c>
      <c r="AK146">
        <f t="shared" ca="1" si="12"/>
        <v>39</v>
      </c>
      <c r="AL146">
        <f t="shared" ca="1" si="13"/>
        <v>10</v>
      </c>
      <c r="AM146" t="str">
        <f t="shared" si="14"/>
        <v>Actif</v>
      </c>
      <c r="AN146" s="2" t="str">
        <f t="shared" ca="1" si="15"/>
        <v>30-44 ans</v>
      </c>
      <c r="AO146" s="2" t="str">
        <f t="shared" si="16"/>
        <v>Fully Meets</v>
      </c>
      <c r="AP146" s="2" t="str">
        <f t="shared" si="17"/>
        <v>FAIBLE</v>
      </c>
    </row>
    <row r="147" spans="1:42">
      <c r="A147" s="2" t="s">
        <v>753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s="2" t="s">
        <v>42</v>
      </c>
      <c r="N147" s="2" t="s">
        <v>16</v>
      </c>
      <c r="O147">
        <v>2128</v>
      </c>
      <c r="P147" s="1">
        <v>25424</v>
      </c>
      <c r="Q147" s="2" t="s">
        <v>44</v>
      </c>
      <c r="R147" s="2" t="s">
        <v>18</v>
      </c>
      <c r="S147" s="2" t="s">
        <v>19</v>
      </c>
      <c r="T147" s="2" t="s">
        <v>20</v>
      </c>
      <c r="U147" s="2" t="s">
        <v>21</v>
      </c>
      <c r="V147" s="1">
        <v>41827</v>
      </c>
      <c r="W147" s="1"/>
      <c r="X147" s="2" t="s">
        <v>22</v>
      </c>
      <c r="Y147" s="2" t="s">
        <v>23</v>
      </c>
      <c r="Z147" s="2" t="s">
        <v>24</v>
      </c>
      <c r="AA147" s="2" t="s">
        <v>72</v>
      </c>
      <c r="AB147">
        <v>12</v>
      </c>
      <c r="AC147" s="2" t="s">
        <v>26</v>
      </c>
      <c r="AD147" s="2" t="s">
        <v>27</v>
      </c>
      <c r="AE147" s="2" t="s">
        <v>187</v>
      </c>
      <c r="AF147">
        <v>3</v>
      </c>
      <c r="AG147">
        <v>0</v>
      </c>
      <c r="AH147">
        <v>43770</v>
      </c>
      <c r="AI147">
        <v>0</v>
      </c>
      <c r="AJ147">
        <v>1</v>
      </c>
      <c r="AK147">
        <f t="shared" ca="1" si="12"/>
        <v>56</v>
      </c>
      <c r="AL147">
        <f t="shared" ca="1" si="13"/>
        <v>11</v>
      </c>
      <c r="AM147" t="str">
        <f t="shared" si="14"/>
        <v>Actif</v>
      </c>
      <c r="AN147" s="2" t="str">
        <f t="shared" ca="1" si="15"/>
        <v>45-59 ans</v>
      </c>
      <c r="AO147" s="2" t="str">
        <f t="shared" si="16"/>
        <v>Exceeds</v>
      </c>
      <c r="AP147" s="2" t="str">
        <f t="shared" si="17"/>
        <v>FAIBLE</v>
      </c>
    </row>
    <row r="148" spans="1:42">
      <c r="A148" s="2" t="s">
        <v>754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s="2" t="s">
        <v>15</v>
      </c>
      <c r="N148" s="2" t="s">
        <v>16</v>
      </c>
      <c r="O148">
        <v>2446</v>
      </c>
      <c r="P148" s="1">
        <v>31519</v>
      </c>
      <c r="Q148" s="2" t="s">
        <v>44</v>
      </c>
      <c r="R148" s="2" t="s">
        <v>31</v>
      </c>
      <c r="S148" s="2" t="s">
        <v>19</v>
      </c>
      <c r="T148" s="2" t="s">
        <v>20</v>
      </c>
      <c r="U148" s="2" t="s">
        <v>71</v>
      </c>
      <c r="V148" s="1">
        <v>40817</v>
      </c>
      <c r="W148" s="1">
        <v>42373</v>
      </c>
      <c r="X148" s="2" t="s">
        <v>86</v>
      </c>
      <c r="Y148" s="2" t="s">
        <v>35</v>
      </c>
      <c r="Z148" s="2" t="s">
        <v>24</v>
      </c>
      <c r="AA148" s="2" t="s">
        <v>51</v>
      </c>
      <c r="AB148">
        <v>16</v>
      </c>
      <c r="AC148" s="2" t="s">
        <v>117</v>
      </c>
      <c r="AD148" s="2" t="s">
        <v>39</v>
      </c>
      <c r="AE148" s="2" t="s">
        <v>275</v>
      </c>
      <c r="AF148">
        <v>4</v>
      </c>
      <c r="AG148">
        <v>0</v>
      </c>
      <c r="AH148">
        <v>42431</v>
      </c>
      <c r="AI148">
        <v>0</v>
      </c>
      <c r="AJ148">
        <v>4</v>
      </c>
      <c r="AK148">
        <f t="shared" ca="1" si="12"/>
        <v>39</v>
      </c>
      <c r="AL148">
        <f t="shared" ca="1" si="13"/>
        <v>4</v>
      </c>
      <c r="AM148" t="str">
        <f t="shared" si="14"/>
        <v>Volontaire</v>
      </c>
      <c r="AN148" s="2" t="str">
        <f t="shared" ca="1" si="15"/>
        <v>30-44 ans</v>
      </c>
      <c r="AO148" s="2" t="str">
        <f t="shared" si="16"/>
        <v>Fully Meets</v>
      </c>
      <c r="AP148" s="2" t="str">
        <f t="shared" si="17"/>
        <v>FAIBLE</v>
      </c>
    </row>
    <row r="149" spans="1:42">
      <c r="A149" s="2" t="s">
        <v>755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s="2" t="s">
        <v>215</v>
      </c>
      <c r="N149" s="2" t="s">
        <v>368</v>
      </c>
      <c r="O149">
        <v>19444</v>
      </c>
      <c r="P149" s="1">
        <v>32823</v>
      </c>
      <c r="Q149" s="2" t="s">
        <v>44</v>
      </c>
      <c r="R149" s="2" t="s">
        <v>18</v>
      </c>
      <c r="S149" s="2" t="s">
        <v>19</v>
      </c>
      <c r="T149" s="2" t="s">
        <v>20</v>
      </c>
      <c r="U149" s="2" t="s">
        <v>21</v>
      </c>
      <c r="V149" s="1">
        <v>40735</v>
      </c>
      <c r="W149" s="1">
        <v>41753</v>
      </c>
      <c r="X149" s="2" t="s">
        <v>370</v>
      </c>
      <c r="Y149" s="2" t="s">
        <v>35</v>
      </c>
      <c r="Z149" s="2" t="s">
        <v>154</v>
      </c>
      <c r="AA149" s="2" t="s">
        <v>217</v>
      </c>
      <c r="AB149">
        <v>15</v>
      </c>
      <c r="AC149" s="2" t="s">
        <v>56</v>
      </c>
      <c r="AD149" s="2" t="s">
        <v>39</v>
      </c>
      <c r="AE149" s="2" t="s">
        <v>109</v>
      </c>
      <c r="AF149">
        <v>5</v>
      </c>
      <c r="AG149">
        <v>0</v>
      </c>
      <c r="AH149" t="s">
        <v>371</v>
      </c>
      <c r="AI149">
        <v>0</v>
      </c>
      <c r="AJ149">
        <v>2</v>
      </c>
      <c r="AK149">
        <f t="shared" ca="1" si="12"/>
        <v>36</v>
      </c>
      <c r="AL149">
        <f t="shared" ca="1" si="13"/>
        <v>2</v>
      </c>
      <c r="AM149" t="str">
        <f t="shared" si="14"/>
        <v>Involontaire</v>
      </c>
      <c r="AN149" s="2" t="str">
        <f t="shared" ca="1" si="15"/>
        <v>30-44 ans</v>
      </c>
      <c r="AO149" s="2" t="str">
        <f t="shared" si="16"/>
        <v>Fully Meets</v>
      </c>
      <c r="AP149" s="2" t="str">
        <f t="shared" si="17"/>
        <v>FAIBLE</v>
      </c>
    </row>
    <row r="150" spans="1:42">
      <c r="A150" s="2" t="s">
        <v>756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s="2" t="s">
        <v>15</v>
      </c>
      <c r="N150" s="2" t="s">
        <v>16</v>
      </c>
      <c r="O150">
        <v>1887</v>
      </c>
      <c r="P150" s="1">
        <v>27778</v>
      </c>
      <c r="Q150" s="2" t="s">
        <v>17</v>
      </c>
      <c r="R150" s="2" t="s">
        <v>18</v>
      </c>
      <c r="S150" s="2" t="s">
        <v>19</v>
      </c>
      <c r="T150" s="2" t="s">
        <v>20</v>
      </c>
      <c r="U150" s="2" t="s">
        <v>21</v>
      </c>
      <c r="V150" s="1">
        <v>41547</v>
      </c>
      <c r="W150" s="1"/>
      <c r="X150" s="2" t="s">
        <v>22</v>
      </c>
      <c r="Y150" s="2" t="s">
        <v>23</v>
      </c>
      <c r="Z150" s="2" t="s">
        <v>24</v>
      </c>
      <c r="AA150" s="2" t="s">
        <v>25</v>
      </c>
      <c r="AB150">
        <v>22</v>
      </c>
      <c r="AC150" s="2" t="s">
        <v>38</v>
      </c>
      <c r="AD150" s="2" t="s">
        <v>39</v>
      </c>
      <c r="AE150" s="2" t="s">
        <v>373</v>
      </c>
      <c r="AF150">
        <v>4</v>
      </c>
      <c r="AG150">
        <v>0</v>
      </c>
      <c r="AH150" t="s">
        <v>240</v>
      </c>
      <c r="AI150">
        <v>0</v>
      </c>
      <c r="AJ150">
        <v>10</v>
      </c>
      <c r="AK150">
        <f t="shared" ca="1" si="12"/>
        <v>50</v>
      </c>
      <c r="AL150">
        <f t="shared" ca="1" si="13"/>
        <v>12</v>
      </c>
      <c r="AM150" t="str">
        <f t="shared" si="14"/>
        <v>Actif</v>
      </c>
      <c r="AN150" s="2" t="str">
        <f t="shared" ca="1" si="15"/>
        <v>45-59 ans</v>
      </c>
      <c r="AO150" s="2" t="str">
        <f t="shared" si="16"/>
        <v>Fully Meets</v>
      </c>
      <c r="AP150" s="2" t="str">
        <f t="shared" si="17"/>
        <v>FAIBLE</v>
      </c>
    </row>
    <row r="151" spans="1:42">
      <c r="A151" s="2" t="s">
        <v>757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s="2" t="s">
        <v>151</v>
      </c>
      <c r="N151" s="2" t="s">
        <v>374</v>
      </c>
      <c r="O151">
        <v>80820</v>
      </c>
      <c r="P151" s="1">
        <v>29186</v>
      </c>
      <c r="Q151" s="2" t="s">
        <v>17</v>
      </c>
      <c r="R151" s="2" t="s">
        <v>18</v>
      </c>
      <c r="S151" s="2" t="s">
        <v>19</v>
      </c>
      <c r="T151" s="2" t="s">
        <v>20</v>
      </c>
      <c r="U151" s="2" t="s">
        <v>21</v>
      </c>
      <c r="V151" s="1">
        <v>41505</v>
      </c>
      <c r="W151" s="1"/>
      <c r="X151" s="2" t="s">
        <v>22</v>
      </c>
      <c r="Y151" s="2" t="s">
        <v>23</v>
      </c>
      <c r="Z151" s="2" t="s">
        <v>154</v>
      </c>
      <c r="AA151" s="2" t="s">
        <v>180</v>
      </c>
      <c r="AB151">
        <v>21</v>
      </c>
      <c r="AC151" s="2" t="s">
        <v>38</v>
      </c>
      <c r="AD151" s="2" t="s">
        <v>39</v>
      </c>
      <c r="AE151" s="2" t="s">
        <v>187</v>
      </c>
      <c r="AF151">
        <v>5</v>
      </c>
      <c r="AG151">
        <v>0</v>
      </c>
      <c r="AH151" t="s">
        <v>211</v>
      </c>
      <c r="AI151">
        <v>0</v>
      </c>
      <c r="AJ151">
        <v>13</v>
      </c>
      <c r="AK151">
        <f t="shared" ca="1" si="12"/>
        <v>46</v>
      </c>
      <c r="AL151">
        <f t="shared" ca="1" si="13"/>
        <v>12</v>
      </c>
      <c r="AM151" t="str">
        <f t="shared" si="14"/>
        <v>Actif</v>
      </c>
      <c r="AN151" s="2" t="str">
        <f t="shared" ca="1" si="15"/>
        <v>45-59 ans</v>
      </c>
      <c r="AO151" s="2" t="str">
        <f t="shared" si="16"/>
        <v>Fully Meets</v>
      </c>
      <c r="AP151" s="2" t="str">
        <f t="shared" si="17"/>
        <v>SURVEILLER</v>
      </c>
    </row>
    <row r="152" spans="1:42">
      <c r="A152" s="2" t="s">
        <v>758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s="2" t="s">
        <v>376</v>
      </c>
      <c r="N152" s="2" t="s">
        <v>16</v>
      </c>
      <c r="O152">
        <v>1902</v>
      </c>
      <c r="P152" s="1">
        <v>19988</v>
      </c>
      <c r="Q152" s="2" t="s">
        <v>44</v>
      </c>
      <c r="R152" s="2" t="s">
        <v>31</v>
      </c>
      <c r="S152" s="2" t="s">
        <v>19</v>
      </c>
      <c r="T152" s="2" t="s">
        <v>79</v>
      </c>
      <c r="U152" s="2" t="s">
        <v>21</v>
      </c>
      <c r="V152" s="1">
        <v>40946</v>
      </c>
      <c r="W152" s="1"/>
      <c r="X152" s="2" t="s">
        <v>22</v>
      </c>
      <c r="Y152" s="2" t="s">
        <v>23</v>
      </c>
      <c r="Z152" s="2" t="s">
        <v>378</v>
      </c>
      <c r="AA152" s="2" t="s">
        <v>294</v>
      </c>
      <c r="AB152">
        <v>9</v>
      </c>
      <c r="AC152" s="2" t="s">
        <v>38</v>
      </c>
      <c r="AD152" s="2" t="s">
        <v>39</v>
      </c>
      <c r="AE152" s="2" t="s">
        <v>379</v>
      </c>
      <c r="AF152">
        <v>3</v>
      </c>
      <c r="AG152">
        <v>0</v>
      </c>
      <c r="AH152" t="s">
        <v>29</v>
      </c>
      <c r="AI152">
        <v>0</v>
      </c>
      <c r="AJ152">
        <v>10</v>
      </c>
      <c r="AK152">
        <f t="shared" ca="1" si="12"/>
        <v>71</v>
      </c>
      <c r="AL152">
        <f t="shared" ca="1" si="13"/>
        <v>14</v>
      </c>
      <c r="AM152" t="str">
        <f t="shared" si="14"/>
        <v>Actif</v>
      </c>
      <c r="AN152" s="2" t="str">
        <f t="shared" ca="1" si="15"/>
        <v>60 ans et plus</v>
      </c>
      <c r="AO152" s="2" t="str">
        <f t="shared" si="16"/>
        <v>Fully Meets</v>
      </c>
      <c r="AP152" s="2" t="str">
        <f t="shared" si="17"/>
        <v>FAIBLE</v>
      </c>
    </row>
    <row r="153" spans="1:42">
      <c r="A153" s="2" t="s">
        <v>759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s="2" t="s">
        <v>15</v>
      </c>
      <c r="N153" s="2" t="s">
        <v>16</v>
      </c>
      <c r="O153">
        <v>2170</v>
      </c>
      <c r="P153" s="1">
        <v>26888</v>
      </c>
      <c r="Q153" s="2" t="s">
        <v>44</v>
      </c>
      <c r="R153" s="2" t="s">
        <v>31</v>
      </c>
      <c r="S153" s="2" t="s">
        <v>19</v>
      </c>
      <c r="T153" s="2" t="s">
        <v>20</v>
      </c>
      <c r="U153" s="2" t="s">
        <v>21</v>
      </c>
      <c r="V153" s="1">
        <v>40812</v>
      </c>
      <c r="W153" s="1">
        <v>42100</v>
      </c>
      <c r="X153" s="2" t="s">
        <v>233</v>
      </c>
      <c r="Y153" s="2" t="s">
        <v>35</v>
      </c>
      <c r="Z153" s="2" t="s">
        <v>24</v>
      </c>
      <c r="AA153" s="2" t="s">
        <v>55</v>
      </c>
      <c r="AB153">
        <v>39</v>
      </c>
      <c r="AC153" s="2" t="s">
        <v>56</v>
      </c>
      <c r="AD153" s="2" t="s">
        <v>39</v>
      </c>
      <c r="AE153" s="2" t="s">
        <v>343</v>
      </c>
      <c r="AF153">
        <v>5</v>
      </c>
      <c r="AG153">
        <v>0</v>
      </c>
      <c r="AH153">
        <v>42007</v>
      </c>
      <c r="AI153">
        <v>0</v>
      </c>
      <c r="AJ153">
        <v>16</v>
      </c>
      <c r="AK153">
        <f t="shared" ca="1" si="12"/>
        <v>52</v>
      </c>
      <c r="AL153">
        <f t="shared" ca="1" si="13"/>
        <v>3</v>
      </c>
      <c r="AM153" t="str">
        <f t="shared" si="14"/>
        <v>Volontaire</v>
      </c>
      <c r="AN153" s="2" t="str">
        <f t="shared" ca="1" si="15"/>
        <v>45-59 ans</v>
      </c>
      <c r="AO153" s="2" t="str">
        <f t="shared" si="16"/>
        <v>Fully Meets</v>
      </c>
      <c r="AP153" s="2" t="str">
        <f t="shared" si="17"/>
        <v>SURVEILLER</v>
      </c>
    </row>
    <row r="154" spans="1:42">
      <c r="A154" s="2" t="s">
        <v>760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s="2" t="s">
        <v>15</v>
      </c>
      <c r="N154" s="2" t="s">
        <v>16</v>
      </c>
      <c r="O154">
        <v>2127</v>
      </c>
      <c r="P154" s="1">
        <v>25790</v>
      </c>
      <c r="Q154" s="2" t="s">
        <v>44</v>
      </c>
      <c r="R154" s="2" t="s">
        <v>31</v>
      </c>
      <c r="S154" s="2" t="s">
        <v>19</v>
      </c>
      <c r="T154" s="2" t="s">
        <v>20</v>
      </c>
      <c r="U154" s="2" t="s">
        <v>21</v>
      </c>
      <c r="V154" s="1">
        <v>40812</v>
      </c>
      <c r="W154" s="1">
        <v>41883</v>
      </c>
      <c r="X154" s="2" t="s">
        <v>233</v>
      </c>
      <c r="Y154" s="2" t="s">
        <v>35</v>
      </c>
      <c r="Z154" s="2" t="s">
        <v>24</v>
      </c>
      <c r="AA154" s="2" t="s">
        <v>59</v>
      </c>
      <c r="AB154">
        <v>11</v>
      </c>
      <c r="AC154" s="2" t="s">
        <v>56</v>
      </c>
      <c r="AD154" s="2" t="s">
        <v>39</v>
      </c>
      <c r="AE154" s="2" t="s">
        <v>380</v>
      </c>
      <c r="AF154">
        <v>4</v>
      </c>
      <c r="AG154">
        <v>0</v>
      </c>
      <c r="AH154" t="s">
        <v>340</v>
      </c>
      <c r="AI154">
        <v>0</v>
      </c>
      <c r="AJ154">
        <v>6</v>
      </c>
      <c r="AK154">
        <f t="shared" ca="1" si="12"/>
        <v>55</v>
      </c>
      <c r="AL154">
        <f t="shared" ca="1" si="13"/>
        <v>2</v>
      </c>
      <c r="AM154" t="str">
        <f t="shared" si="14"/>
        <v>Volontaire</v>
      </c>
      <c r="AN154" s="2" t="str">
        <f t="shared" ca="1" si="15"/>
        <v>45-59 ans</v>
      </c>
      <c r="AO154" s="2" t="str">
        <f t="shared" si="16"/>
        <v>Fully Meets</v>
      </c>
      <c r="AP154" s="2" t="str">
        <f t="shared" si="17"/>
        <v>FAIBLE</v>
      </c>
    </row>
    <row r="155" spans="1:42">
      <c r="A155" s="2" t="s">
        <v>761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s="2" t="s">
        <v>15</v>
      </c>
      <c r="N155" s="2" t="s">
        <v>16</v>
      </c>
      <c r="O155">
        <v>1721</v>
      </c>
      <c r="P155" s="1">
        <v>28409</v>
      </c>
      <c r="Q155" s="2" t="s">
        <v>17</v>
      </c>
      <c r="R155" s="2" t="s">
        <v>18</v>
      </c>
      <c r="S155" s="2" t="s">
        <v>19</v>
      </c>
      <c r="T155" s="2" t="s">
        <v>20</v>
      </c>
      <c r="U155" s="2" t="s">
        <v>71</v>
      </c>
      <c r="V155" s="1">
        <v>41687</v>
      </c>
      <c r="W155" s="1"/>
      <c r="X155" s="2" t="s">
        <v>22</v>
      </c>
      <c r="Y155" s="2" t="s">
        <v>23</v>
      </c>
      <c r="Z155" s="2" t="s">
        <v>24</v>
      </c>
      <c r="AA155" s="2" t="s">
        <v>68</v>
      </c>
      <c r="AB155">
        <v>19</v>
      </c>
      <c r="AC155" s="2" t="s">
        <v>26</v>
      </c>
      <c r="AD155" s="2" t="s">
        <v>39</v>
      </c>
      <c r="AE155" s="2" t="s">
        <v>221</v>
      </c>
      <c r="AF155">
        <v>3</v>
      </c>
      <c r="AG155">
        <v>0</v>
      </c>
      <c r="AH155">
        <v>43618</v>
      </c>
      <c r="AI155">
        <v>0</v>
      </c>
      <c r="AJ155">
        <v>3</v>
      </c>
      <c r="AK155">
        <f t="shared" ca="1" si="12"/>
        <v>48</v>
      </c>
      <c r="AL155">
        <f t="shared" ca="1" si="13"/>
        <v>12</v>
      </c>
      <c r="AM155" t="str">
        <f t="shared" si="14"/>
        <v>Actif</v>
      </c>
      <c r="AN155" s="2" t="str">
        <f t="shared" ca="1" si="15"/>
        <v>45-59 ans</v>
      </c>
      <c r="AO155" s="2" t="str">
        <f t="shared" si="16"/>
        <v>Fully Meets</v>
      </c>
      <c r="AP155" s="2" t="str">
        <f t="shared" si="17"/>
        <v>FAIBLE</v>
      </c>
    </row>
    <row r="156" spans="1:42">
      <c r="A156" s="2" t="s">
        <v>762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s="2" t="s">
        <v>15</v>
      </c>
      <c r="N156" s="2" t="s">
        <v>16</v>
      </c>
      <c r="O156">
        <v>1801</v>
      </c>
      <c r="P156" s="1">
        <v>29253</v>
      </c>
      <c r="Q156" s="2" t="s">
        <v>17</v>
      </c>
      <c r="R156" s="2" t="s">
        <v>31</v>
      </c>
      <c r="S156" s="2" t="s">
        <v>19</v>
      </c>
      <c r="T156" s="2" t="s">
        <v>20</v>
      </c>
      <c r="U156" s="2" t="s">
        <v>111</v>
      </c>
      <c r="V156" s="1">
        <v>40817</v>
      </c>
      <c r="W156" s="1"/>
      <c r="X156" s="2" t="s">
        <v>22</v>
      </c>
      <c r="Y156" s="2" t="s">
        <v>23</v>
      </c>
      <c r="Z156" s="2" t="s">
        <v>24</v>
      </c>
      <c r="AA156" s="2" t="s">
        <v>72</v>
      </c>
      <c r="AB156">
        <v>12</v>
      </c>
      <c r="AC156" s="2" t="s">
        <v>38</v>
      </c>
      <c r="AD156" s="2" t="s">
        <v>39</v>
      </c>
      <c r="AE156" s="2" t="s">
        <v>381</v>
      </c>
      <c r="AF156">
        <v>3</v>
      </c>
      <c r="AG156">
        <v>0</v>
      </c>
      <c r="AH156" t="s">
        <v>150</v>
      </c>
      <c r="AI156">
        <v>0</v>
      </c>
      <c r="AJ156">
        <v>17</v>
      </c>
      <c r="AK156">
        <f t="shared" ca="1" si="12"/>
        <v>46</v>
      </c>
      <c r="AL156">
        <f t="shared" ca="1" si="13"/>
        <v>14</v>
      </c>
      <c r="AM156" t="str">
        <f t="shared" si="14"/>
        <v>Actif</v>
      </c>
      <c r="AN156" s="2" t="str">
        <f t="shared" ca="1" si="15"/>
        <v>45-59 ans</v>
      </c>
      <c r="AO156" s="2" t="str">
        <f t="shared" si="16"/>
        <v>Fully Meets</v>
      </c>
      <c r="AP156" s="2" t="str">
        <f t="shared" si="17"/>
        <v>SURVEILLER</v>
      </c>
    </row>
    <row r="157" spans="1:42">
      <c r="A157" s="2" t="s">
        <v>763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s="2" t="s">
        <v>151</v>
      </c>
      <c r="N157" s="2" t="s">
        <v>382</v>
      </c>
      <c r="O157">
        <v>10171</v>
      </c>
      <c r="P157" s="1">
        <v>25258</v>
      </c>
      <c r="Q157" s="2" t="s">
        <v>17</v>
      </c>
      <c r="R157" s="2" t="s">
        <v>18</v>
      </c>
      <c r="S157" s="2" t="s">
        <v>19</v>
      </c>
      <c r="T157" s="2" t="s">
        <v>79</v>
      </c>
      <c r="U157" s="2" t="s">
        <v>71</v>
      </c>
      <c r="V157" s="1">
        <v>40727</v>
      </c>
      <c r="W157" s="1"/>
      <c r="X157" s="2" t="s">
        <v>22</v>
      </c>
      <c r="Y157" s="2" t="s">
        <v>23</v>
      </c>
      <c r="Z157" s="2" t="s">
        <v>154</v>
      </c>
      <c r="AA157" s="2" t="s">
        <v>155</v>
      </c>
      <c r="AB157">
        <v>17</v>
      </c>
      <c r="AC157" s="2" t="s">
        <v>73</v>
      </c>
      <c r="AD157" s="2" t="s">
        <v>39</v>
      </c>
      <c r="AE157" s="2" t="s">
        <v>384</v>
      </c>
      <c r="AF157">
        <v>5</v>
      </c>
      <c r="AG157">
        <v>0</v>
      </c>
      <c r="AH157" t="s">
        <v>29</v>
      </c>
      <c r="AI157">
        <v>0</v>
      </c>
      <c r="AJ157">
        <v>20</v>
      </c>
      <c r="AK157">
        <f t="shared" ca="1" si="12"/>
        <v>57</v>
      </c>
      <c r="AL157">
        <f t="shared" ca="1" si="13"/>
        <v>14</v>
      </c>
      <c r="AM157" t="str">
        <f t="shared" si="14"/>
        <v>Actif</v>
      </c>
      <c r="AN157" s="2" t="str">
        <f t="shared" ca="1" si="15"/>
        <v>45-59 ans</v>
      </c>
      <c r="AO157" s="2" t="str">
        <f t="shared" si="16"/>
        <v>Fully Meets</v>
      </c>
      <c r="AP157" s="2" t="str">
        <f t="shared" si="17"/>
        <v>SURVEILLER</v>
      </c>
    </row>
    <row r="158" spans="1:42">
      <c r="A158" s="2" t="s">
        <v>764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s="2" t="s">
        <v>214</v>
      </c>
      <c r="N158" s="2" t="s">
        <v>16</v>
      </c>
      <c r="O158">
        <v>2169</v>
      </c>
      <c r="P158" s="1">
        <v>31525</v>
      </c>
      <c r="Q158" s="2" t="s">
        <v>17</v>
      </c>
      <c r="R158" s="2" t="s">
        <v>31</v>
      </c>
      <c r="S158" s="2" t="s">
        <v>19</v>
      </c>
      <c r="T158" s="2" t="s">
        <v>20</v>
      </c>
      <c r="U158" s="2" t="s">
        <v>21</v>
      </c>
      <c r="V158" s="1">
        <v>41923</v>
      </c>
      <c r="W158" s="1"/>
      <c r="X158" s="2" t="s">
        <v>22</v>
      </c>
      <c r="Y158" s="2" t="s">
        <v>23</v>
      </c>
      <c r="Z158" s="2" t="s">
        <v>36</v>
      </c>
      <c r="AA158" s="2" t="s">
        <v>77</v>
      </c>
      <c r="AB158">
        <v>7</v>
      </c>
      <c r="AC158" s="2" t="s">
        <v>69</v>
      </c>
      <c r="AD158" s="2" t="s">
        <v>39</v>
      </c>
      <c r="AE158" s="2" t="s">
        <v>74</v>
      </c>
      <c r="AF158">
        <v>5</v>
      </c>
      <c r="AG158">
        <v>6</v>
      </c>
      <c r="AH158">
        <v>43647</v>
      </c>
      <c r="AI158">
        <v>0</v>
      </c>
      <c r="AJ158">
        <v>7</v>
      </c>
      <c r="AK158">
        <f t="shared" ca="1" si="12"/>
        <v>39</v>
      </c>
      <c r="AL158">
        <f t="shared" ca="1" si="13"/>
        <v>11</v>
      </c>
      <c r="AM158" t="str">
        <f t="shared" si="14"/>
        <v>Actif</v>
      </c>
      <c r="AN158" s="2" t="str">
        <f t="shared" ca="1" si="15"/>
        <v>30-44 ans</v>
      </c>
      <c r="AO158" s="2" t="str">
        <f t="shared" si="16"/>
        <v>Fully Meets</v>
      </c>
      <c r="AP158" s="2" t="str">
        <f t="shared" si="17"/>
        <v>FAIBLE</v>
      </c>
    </row>
    <row r="159" spans="1:42">
      <c r="A159" s="2" t="s">
        <v>765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s="2" t="s">
        <v>133</v>
      </c>
      <c r="N159" s="2" t="s">
        <v>16</v>
      </c>
      <c r="O159">
        <v>1890</v>
      </c>
      <c r="P159" s="1">
        <v>26305</v>
      </c>
      <c r="Q159" s="2" t="s">
        <v>17</v>
      </c>
      <c r="R159" s="2" t="s">
        <v>31</v>
      </c>
      <c r="S159" s="2" t="s">
        <v>19</v>
      </c>
      <c r="T159" s="2" t="s">
        <v>20</v>
      </c>
      <c r="U159" s="2" t="s">
        <v>21</v>
      </c>
      <c r="V159" s="1">
        <v>40817</v>
      </c>
      <c r="W159" s="1">
        <v>42350</v>
      </c>
      <c r="X159" s="2" t="s">
        <v>99</v>
      </c>
      <c r="Y159" s="2" t="s">
        <v>100</v>
      </c>
      <c r="Z159" s="2" t="s">
        <v>24</v>
      </c>
      <c r="AA159" s="2" t="s">
        <v>135</v>
      </c>
      <c r="AB159">
        <v>2</v>
      </c>
      <c r="AC159" s="2" t="s">
        <v>69</v>
      </c>
      <c r="AD159" s="2" t="s">
        <v>39</v>
      </c>
      <c r="AE159" s="2" t="s">
        <v>386</v>
      </c>
      <c r="AF159">
        <v>4</v>
      </c>
      <c r="AG159">
        <v>0</v>
      </c>
      <c r="AH159" t="s">
        <v>387</v>
      </c>
      <c r="AI159">
        <v>0</v>
      </c>
      <c r="AJ159">
        <v>9</v>
      </c>
      <c r="AK159">
        <f t="shared" ca="1" si="12"/>
        <v>54</v>
      </c>
      <c r="AL159">
        <f t="shared" ca="1" si="13"/>
        <v>4</v>
      </c>
      <c r="AM159" t="str">
        <f t="shared" si="14"/>
        <v>Involontaire</v>
      </c>
      <c r="AN159" s="2" t="str">
        <f t="shared" ca="1" si="15"/>
        <v>45-59 ans</v>
      </c>
      <c r="AO159" s="2" t="str">
        <f t="shared" si="16"/>
        <v>Fully Meets</v>
      </c>
      <c r="AP159" s="2" t="str">
        <f t="shared" si="17"/>
        <v>FAIBLE</v>
      </c>
    </row>
    <row r="160" spans="1:42">
      <c r="A160" s="2" t="s">
        <v>766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s="2" t="s">
        <v>42</v>
      </c>
      <c r="N160" s="2" t="s">
        <v>16</v>
      </c>
      <c r="O160">
        <v>2090</v>
      </c>
      <c r="P160" s="1">
        <v>29061</v>
      </c>
      <c r="Q160" s="2" t="s">
        <v>44</v>
      </c>
      <c r="R160" s="2" t="s">
        <v>53</v>
      </c>
      <c r="S160" s="2" t="s">
        <v>19</v>
      </c>
      <c r="T160" s="2" t="s">
        <v>20</v>
      </c>
      <c r="U160" s="2" t="s">
        <v>111</v>
      </c>
      <c r="V160" s="1">
        <v>41456</v>
      </c>
      <c r="W160" s="1">
        <v>41729</v>
      </c>
      <c r="X160" s="2" t="s">
        <v>80</v>
      </c>
      <c r="Y160" s="2" t="s">
        <v>35</v>
      </c>
      <c r="Z160" s="2" t="s">
        <v>24</v>
      </c>
      <c r="AA160" s="2" t="s">
        <v>81</v>
      </c>
      <c r="AB160">
        <v>14</v>
      </c>
      <c r="AC160" s="2" t="s">
        <v>38</v>
      </c>
      <c r="AD160" s="2" t="s">
        <v>39</v>
      </c>
      <c r="AE160" s="2" t="s">
        <v>258</v>
      </c>
      <c r="AF160">
        <v>3</v>
      </c>
      <c r="AG160">
        <v>0</v>
      </c>
      <c r="AH160" t="s">
        <v>137</v>
      </c>
      <c r="AI160">
        <v>0</v>
      </c>
      <c r="AJ160">
        <v>20</v>
      </c>
      <c r="AK160">
        <f t="shared" ca="1" si="12"/>
        <v>46</v>
      </c>
      <c r="AL160">
        <f t="shared" ca="1" si="13"/>
        <v>0</v>
      </c>
      <c r="AM160" t="str">
        <f t="shared" si="14"/>
        <v>Volontaire</v>
      </c>
      <c r="AN160" s="2" t="str">
        <f t="shared" ca="1" si="15"/>
        <v>45-59 ans</v>
      </c>
      <c r="AO160" s="2" t="str">
        <f t="shared" si="16"/>
        <v>Fully Meets</v>
      </c>
      <c r="AP160" s="2" t="str">
        <f t="shared" si="17"/>
        <v>SURVEILLER</v>
      </c>
    </row>
    <row r="161" spans="1:42">
      <c r="A161" s="2" t="s">
        <v>767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s="2" t="s">
        <v>15</v>
      </c>
      <c r="N161" s="2" t="s">
        <v>16</v>
      </c>
      <c r="O161">
        <v>2048</v>
      </c>
      <c r="P161" s="1">
        <v>31667</v>
      </c>
      <c r="Q161" s="2" t="s">
        <v>17</v>
      </c>
      <c r="R161" s="2" t="s">
        <v>31</v>
      </c>
      <c r="S161" s="2" t="s">
        <v>19</v>
      </c>
      <c r="T161" s="2" t="s">
        <v>20</v>
      </c>
      <c r="U161" s="2" t="s">
        <v>21</v>
      </c>
      <c r="V161" s="1">
        <v>41159</v>
      </c>
      <c r="W161" s="1"/>
      <c r="X161" s="2" t="s">
        <v>22</v>
      </c>
      <c r="Y161" s="2" t="s">
        <v>23</v>
      </c>
      <c r="Z161" s="2" t="s">
        <v>24</v>
      </c>
      <c r="AA161" s="2" t="s">
        <v>81</v>
      </c>
      <c r="AB161">
        <v>14</v>
      </c>
      <c r="AC161" s="2" t="s">
        <v>26</v>
      </c>
      <c r="AD161" s="2" t="s">
        <v>39</v>
      </c>
      <c r="AE161" s="2" t="s">
        <v>57</v>
      </c>
      <c r="AF161">
        <v>5</v>
      </c>
      <c r="AG161">
        <v>0</v>
      </c>
      <c r="AH161">
        <v>43557</v>
      </c>
      <c r="AI161">
        <v>0</v>
      </c>
      <c r="AJ161">
        <v>13</v>
      </c>
      <c r="AK161">
        <f t="shared" ca="1" si="12"/>
        <v>39</v>
      </c>
      <c r="AL161">
        <f t="shared" ca="1" si="13"/>
        <v>13</v>
      </c>
      <c r="AM161" t="str">
        <f t="shared" si="14"/>
        <v>Actif</v>
      </c>
      <c r="AN161" s="2" t="str">
        <f t="shared" ca="1" si="15"/>
        <v>30-44 ans</v>
      </c>
      <c r="AO161" s="2" t="str">
        <f t="shared" si="16"/>
        <v>Fully Meets</v>
      </c>
      <c r="AP161" s="2" t="str">
        <f t="shared" si="17"/>
        <v>SURVEILLER</v>
      </c>
    </row>
    <row r="162" spans="1:42">
      <c r="A162" s="2" t="s">
        <v>768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s="2" t="s">
        <v>141</v>
      </c>
      <c r="N162" s="2" t="s">
        <v>16</v>
      </c>
      <c r="O162">
        <v>1460</v>
      </c>
      <c r="P162" s="1">
        <v>30798</v>
      </c>
      <c r="Q162" s="2" t="s">
        <v>17</v>
      </c>
      <c r="R162" s="2" t="s">
        <v>53</v>
      </c>
      <c r="S162" s="2" t="s">
        <v>19</v>
      </c>
      <c r="T162" s="2" t="s">
        <v>20</v>
      </c>
      <c r="U162" s="2" t="s">
        <v>71</v>
      </c>
      <c r="V162" s="1">
        <v>41791</v>
      </c>
      <c r="W162" s="1"/>
      <c r="X162" s="2" t="s">
        <v>22</v>
      </c>
      <c r="Y162" s="2" t="s">
        <v>23</v>
      </c>
      <c r="Z162" s="2" t="s">
        <v>131</v>
      </c>
      <c r="AA162" s="2" t="s">
        <v>132</v>
      </c>
      <c r="AB162">
        <v>1</v>
      </c>
      <c r="AC162" s="2" t="s">
        <v>244</v>
      </c>
      <c r="AD162" s="2" t="s">
        <v>39</v>
      </c>
      <c r="AE162" s="2" t="s">
        <v>57</v>
      </c>
      <c r="AF162">
        <v>4</v>
      </c>
      <c r="AG162">
        <v>4</v>
      </c>
      <c r="AH162" t="s">
        <v>29</v>
      </c>
      <c r="AI162">
        <v>0</v>
      </c>
      <c r="AJ162">
        <v>3</v>
      </c>
      <c r="AK162">
        <f t="shared" ca="1" si="12"/>
        <v>41</v>
      </c>
      <c r="AL162">
        <f t="shared" ca="1" si="13"/>
        <v>11</v>
      </c>
      <c r="AM162" t="str">
        <f t="shared" si="14"/>
        <v>Actif</v>
      </c>
      <c r="AN162" s="2" t="str">
        <f t="shared" ca="1" si="15"/>
        <v>30-44 ans</v>
      </c>
      <c r="AO162" s="2" t="str">
        <f t="shared" si="16"/>
        <v>Fully Meets</v>
      </c>
      <c r="AP162" s="2" t="str">
        <f t="shared" si="17"/>
        <v>FAIBLE</v>
      </c>
    </row>
    <row r="163" spans="1:42">
      <c r="A163" s="2" t="s">
        <v>769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s="2" t="s">
        <v>42</v>
      </c>
      <c r="N163" s="2" t="s">
        <v>16</v>
      </c>
      <c r="O163">
        <v>2126</v>
      </c>
      <c r="P163" s="1">
        <v>30930</v>
      </c>
      <c r="Q163" s="2" t="s">
        <v>17</v>
      </c>
      <c r="R163" s="2" t="s">
        <v>31</v>
      </c>
      <c r="S163" s="2" t="s">
        <v>19</v>
      </c>
      <c r="T163" s="2" t="s">
        <v>20</v>
      </c>
      <c r="U163" s="2" t="s">
        <v>21</v>
      </c>
      <c r="V163" s="1">
        <v>40943</v>
      </c>
      <c r="W163" s="1">
        <v>41379</v>
      </c>
      <c r="X163" s="2" t="s">
        <v>233</v>
      </c>
      <c r="Y163" s="2" t="s">
        <v>35</v>
      </c>
      <c r="Z163" s="2" t="s">
        <v>24</v>
      </c>
      <c r="AA163" s="2" t="s">
        <v>47</v>
      </c>
      <c r="AB163">
        <v>20</v>
      </c>
      <c r="AC163" s="2" t="s">
        <v>56</v>
      </c>
      <c r="AD163" s="2" t="s">
        <v>39</v>
      </c>
      <c r="AE163" s="2" t="s">
        <v>391</v>
      </c>
      <c r="AF163">
        <v>3</v>
      </c>
      <c r="AG163">
        <v>0</v>
      </c>
      <c r="AH163" t="s">
        <v>392</v>
      </c>
      <c r="AI163">
        <v>0</v>
      </c>
      <c r="AJ163">
        <v>20</v>
      </c>
      <c r="AK163">
        <f t="shared" ca="1" si="12"/>
        <v>41</v>
      </c>
      <c r="AL163">
        <f t="shared" ca="1" si="13"/>
        <v>1</v>
      </c>
      <c r="AM163" t="str">
        <f t="shared" si="14"/>
        <v>Volontaire</v>
      </c>
      <c r="AN163" s="2" t="str">
        <f t="shared" ca="1" si="15"/>
        <v>30-44 ans</v>
      </c>
      <c r="AO163" s="2" t="str">
        <f t="shared" si="16"/>
        <v>Fully Meets</v>
      </c>
      <c r="AP163" s="2" t="str">
        <f t="shared" si="17"/>
        <v>SURVEILLER</v>
      </c>
    </row>
    <row r="164" spans="1:42">
      <c r="A164" s="2" t="s">
        <v>770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s="2" t="s">
        <v>393</v>
      </c>
      <c r="N164" s="2" t="s">
        <v>16</v>
      </c>
      <c r="O164">
        <v>1886</v>
      </c>
      <c r="P164" s="1">
        <v>31942</v>
      </c>
      <c r="Q164" s="2" t="s">
        <v>44</v>
      </c>
      <c r="R164" s="2" t="s">
        <v>18</v>
      </c>
      <c r="S164" s="2" t="s">
        <v>19</v>
      </c>
      <c r="T164" s="2" t="s">
        <v>20</v>
      </c>
      <c r="U164" s="2" t="s">
        <v>111</v>
      </c>
      <c r="V164" s="1">
        <v>42410</v>
      </c>
      <c r="W164" s="1"/>
      <c r="X164" s="2" t="s">
        <v>22</v>
      </c>
      <c r="Y164" s="2" t="s">
        <v>23</v>
      </c>
      <c r="Z164" s="2" t="s">
        <v>36</v>
      </c>
      <c r="AA164" s="2" t="s">
        <v>238</v>
      </c>
      <c r="AB164">
        <v>13</v>
      </c>
      <c r="AC164" s="2" t="s">
        <v>38</v>
      </c>
      <c r="AD164" s="2" t="s">
        <v>39</v>
      </c>
      <c r="AE164" s="2" t="s">
        <v>199</v>
      </c>
      <c r="AF164">
        <v>5</v>
      </c>
      <c r="AG164">
        <v>7</v>
      </c>
      <c r="AH164">
        <v>43678</v>
      </c>
      <c r="AI164">
        <v>0</v>
      </c>
      <c r="AJ164">
        <v>2</v>
      </c>
      <c r="AK164">
        <f t="shared" ca="1" si="12"/>
        <v>38</v>
      </c>
      <c r="AL164">
        <f t="shared" ca="1" si="13"/>
        <v>10</v>
      </c>
      <c r="AM164" t="str">
        <f t="shared" si="14"/>
        <v>Actif</v>
      </c>
      <c r="AN164" s="2" t="str">
        <f t="shared" ca="1" si="15"/>
        <v>30-44 ans</v>
      </c>
      <c r="AO164" s="2" t="str">
        <f t="shared" si="16"/>
        <v>Fully Meets</v>
      </c>
      <c r="AP164" s="2" t="str">
        <f t="shared" si="17"/>
        <v>FAIBLE</v>
      </c>
    </row>
    <row r="165" spans="1:42">
      <c r="A165" s="2" t="s">
        <v>771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s="2" t="s">
        <v>15</v>
      </c>
      <c r="N165" s="2" t="s">
        <v>16</v>
      </c>
      <c r="O165">
        <v>1810</v>
      </c>
      <c r="P165" s="1">
        <v>28872</v>
      </c>
      <c r="Q165" s="2" t="s">
        <v>44</v>
      </c>
      <c r="R165" s="2" t="s">
        <v>18</v>
      </c>
      <c r="S165" s="2" t="s">
        <v>19</v>
      </c>
      <c r="T165" s="2" t="s">
        <v>20</v>
      </c>
      <c r="U165" s="2" t="s">
        <v>111</v>
      </c>
      <c r="V165" s="1">
        <v>40812</v>
      </c>
      <c r="W165" s="1">
        <v>43331</v>
      </c>
      <c r="X165" s="2" t="s">
        <v>54</v>
      </c>
      <c r="Y165" s="2" t="s">
        <v>35</v>
      </c>
      <c r="Z165" s="2" t="s">
        <v>24</v>
      </c>
      <c r="AA165" s="2" t="s">
        <v>47</v>
      </c>
      <c r="AB165">
        <v>20</v>
      </c>
      <c r="AC165" s="2" t="s">
        <v>117</v>
      </c>
      <c r="AD165" s="2" t="s">
        <v>39</v>
      </c>
      <c r="AE165" s="2" t="s">
        <v>396</v>
      </c>
      <c r="AF165">
        <v>3</v>
      </c>
      <c r="AG165">
        <v>0</v>
      </c>
      <c r="AH165">
        <v>42773</v>
      </c>
      <c r="AI165">
        <v>0</v>
      </c>
      <c r="AJ165">
        <v>17</v>
      </c>
      <c r="AK165">
        <f t="shared" ca="1" si="12"/>
        <v>47</v>
      </c>
      <c r="AL165">
        <f t="shared" ca="1" si="13"/>
        <v>6</v>
      </c>
      <c r="AM165" t="str">
        <f t="shared" si="14"/>
        <v>Volontaire</v>
      </c>
      <c r="AN165" s="2" t="str">
        <f t="shared" ca="1" si="15"/>
        <v>45-59 ans</v>
      </c>
      <c r="AO165" s="2" t="str">
        <f t="shared" si="16"/>
        <v>Fully Meets</v>
      </c>
      <c r="AP165" s="2" t="str">
        <f t="shared" si="17"/>
        <v>SURVEILLER</v>
      </c>
    </row>
    <row r="166" spans="1:42">
      <c r="A166" s="2" t="s">
        <v>772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s="2" t="s">
        <v>397</v>
      </c>
      <c r="N166" s="2" t="s">
        <v>16</v>
      </c>
      <c r="O166">
        <v>1460</v>
      </c>
      <c r="P166" s="1">
        <v>30961</v>
      </c>
      <c r="Q166" s="2" t="s">
        <v>17</v>
      </c>
      <c r="R166" s="2" t="s">
        <v>31</v>
      </c>
      <c r="S166" s="2" t="s">
        <v>19</v>
      </c>
      <c r="T166" s="2" t="s">
        <v>20</v>
      </c>
      <c r="U166" s="2" t="s">
        <v>21</v>
      </c>
      <c r="V166" s="1">
        <v>42491</v>
      </c>
      <c r="W166" s="1"/>
      <c r="X166" s="2" t="s">
        <v>22</v>
      </c>
      <c r="Y166" s="2" t="s">
        <v>23</v>
      </c>
      <c r="Z166" s="2" t="s">
        <v>131</v>
      </c>
      <c r="AA166" s="2" t="s">
        <v>135</v>
      </c>
      <c r="AB166">
        <v>2</v>
      </c>
      <c r="AC166" s="2" t="s">
        <v>117</v>
      </c>
      <c r="AD166" s="2" t="s">
        <v>39</v>
      </c>
      <c r="AE166" s="2" t="s">
        <v>199</v>
      </c>
      <c r="AF166">
        <v>4</v>
      </c>
      <c r="AG166">
        <v>0</v>
      </c>
      <c r="AH166" t="s">
        <v>213</v>
      </c>
      <c r="AI166">
        <v>0</v>
      </c>
      <c r="AJ166">
        <v>20</v>
      </c>
      <c r="AK166">
        <f t="shared" ca="1" si="12"/>
        <v>41</v>
      </c>
      <c r="AL166">
        <f t="shared" ca="1" si="13"/>
        <v>9</v>
      </c>
      <c r="AM166" t="str">
        <f t="shared" si="14"/>
        <v>Actif</v>
      </c>
      <c r="AN166" s="2" t="str">
        <f t="shared" ca="1" si="15"/>
        <v>30-44 ans</v>
      </c>
      <c r="AO166" s="2" t="str">
        <f t="shared" si="16"/>
        <v>Fully Meets</v>
      </c>
      <c r="AP166" s="2" t="str">
        <f t="shared" si="17"/>
        <v>SURVEILLER</v>
      </c>
    </row>
    <row r="167" spans="1:42">
      <c r="A167" s="2" t="s">
        <v>773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s="2" t="s">
        <v>15</v>
      </c>
      <c r="N167" s="2" t="s">
        <v>16</v>
      </c>
      <c r="O167">
        <v>1776</v>
      </c>
      <c r="P167" s="1">
        <v>29991</v>
      </c>
      <c r="Q167" s="2" t="s">
        <v>17</v>
      </c>
      <c r="R167" s="2" t="s">
        <v>31</v>
      </c>
      <c r="S167" s="2" t="s">
        <v>19</v>
      </c>
      <c r="T167" s="2" t="s">
        <v>20</v>
      </c>
      <c r="U167" s="2" t="s">
        <v>111</v>
      </c>
      <c r="V167" s="1">
        <v>41043</v>
      </c>
      <c r="W167" s="1"/>
      <c r="X167" s="2" t="s">
        <v>22</v>
      </c>
      <c r="Y167" s="2" t="s">
        <v>23</v>
      </c>
      <c r="Z167" s="2" t="s">
        <v>24</v>
      </c>
      <c r="AA167" s="2" t="s">
        <v>51</v>
      </c>
      <c r="AB167">
        <v>16</v>
      </c>
      <c r="AC167" s="2" t="s">
        <v>56</v>
      </c>
      <c r="AD167" s="2" t="s">
        <v>39</v>
      </c>
      <c r="AE167" s="2" t="s">
        <v>199</v>
      </c>
      <c r="AF167">
        <v>3</v>
      </c>
      <c r="AG167">
        <v>0</v>
      </c>
      <c r="AH167" t="s">
        <v>166</v>
      </c>
      <c r="AI167">
        <v>0</v>
      </c>
      <c r="AJ167">
        <v>10</v>
      </c>
      <c r="AK167">
        <f t="shared" ca="1" si="12"/>
        <v>44</v>
      </c>
      <c r="AL167">
        <f t="shared" ca="1" si="13"/>
        <v>13</v>
      </c>
      <c r="AM167" t="str">
        <f t="shared" si="14"/>
        <v>Actif</v>
      </c>
      <c r="AN167" s="2" t="str">
        <f t="shared" ca="1" si="15"/>
        <v>30-44 ans</v>
      </c>
      <c r="AO167" s="2" t="str">
        <f t="shared" si="16"/>
        <v>Fully Meets</v>
      </c>
      <c r="AP167" s="2" t="str">
        <f t="shared" si="17"/>
        <v>FAIBLE</v>
      </c>
    </row>
    <row r="168" spans="1:42">
      <c r="A168" s="2" t="s">
        <v>774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s="2" t="s">
        <v>151</v>
      </c>
      <c r="N168" s="2" t="s">
        <v>398</v>
      </c>
      <c r="O168">
        <v>84111</v>
      </c>
      <c r="P168" s="1">
        <v>32504</v>
      </c>
      <c r="Q168" s="2" t="s">
        <v>17</v>
      </c>
      <c r="R168" s="2" t="s">
        <v>149</v>
      </c>
      <c r="S168" s="2" t="s">
        <v>19</v>
      </c>
      <c r="T168" s="2" t="s">
        <v>20</v>
      </c>
      <c r="U168" s="2" t="s">
        <v>71</v>
      </c>
      <c r="V168" s="1">
        <v>41029</v>
      </c>
      <c r="W168" s="1"/>
      <c r="X168" s="2" t="s">
        <v>22</v>
      </c>
      <c r="Y168" s="2" t="s">
        <v>23</v>
      </c>
      <c r="Z168" s="2" t="s">
        <v>154</v>
      </c>
      <c r="AA168" s="2" t="s">
        <v>155</v>
      </c>
      <c r="AB168">
        <v>17</v>
      </c>
      <c r="AC168" s="2" t="s">
        <v>244</v>
      </c>
      <c r="AD168" s="2" t="s">
        <v>39</v>
      </c>
      <c r="AE168" s="2" t="s">
        <v>401</v>
      </c>
      <c r="AF168">
        <v>3</v>
      </c>
      <c r="AG168">
        <v>0</v>
      </c>
      <c r="AH168" t="s">
        <v>246</v>
      </c>
      <c r="AI168">
        <v>0</v>
      </c>
      <c r="AJ168">
        <v>16</v>
      </c>
      <c r="AK168">
        <f t="shared" ca="1" si="12"/>
        <v>37</v>
      </c>
      <c r="AL168">
        <f t="shared" ca="1" si="13"/>
        <v>13</v>
      </c>
      <c r="AM168" t="str">
        <f t="shared" si="14"/>
        <v>Actif</v>
      </c>
      <c r="AN168" s="2" t="str">
        <f t="shared" ca="1" si="15"/>
        <v>30-44 ans</v>
      </c>
      <c r="AO168" s="2" t="str">
        <f t="shared" si="16"/>
        <v>Fully Meets</v>
      </c>
      <c r="AP168" s="2" t="str">
        <f t="shared" si="17"/>
        <v>SURVEILLER</v>
      </c>
    </row>
    <row r="169" spans="1:42">
      <c r="A169" s="2" t="s">
        <v>775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s="2" t="s">
        <v>133</v>
      </c>
      <c r="N169" s="2" t="s">
        <v>16</v>
      </c>
      <c r="O169">
        <v>2110</v>
      </c>
      <c r="P169" s="1">
        <v>29885</v>
      </c>
      <c r="Q169" s="2" t="s">
        <v>44</v>
      </c>
      <c r="R169" s="2" t="s">
        <v>31</v>
      </c>
      <c r="S169" s="2" t="s">
        <v>19</v>
      </c>
      <c r="T169" s="2" t="s">
        <v>20</v>
      </c>
      <c r="U169" s="2" t="s">
        <v>21</v>
      </c>
      <c r="V169" s="1">
        <v>41547</v>
      </c>
      <c r="W169" s="1"/>
      <c r="X169" s="2" t="s">
        <v>22</v>
      </c>
      <c r="Y169" s="2" t="s">
        <v>23</v>
      </c>
      <c r="Z169" s="2" t="s">
        <v>24</v>
      </c>
      <c r="AA169" s="2" t="s">
        <v>135</v>
      </c>
      <c r="AB169">
        <v>2</v>
      </c>
      <c r="AC169" s="2" t="s">
        <v>244</v>
      </c>
      <c r="AD169" s="2" t="s">
        <v>27</v>
      </c>
      <c r="AE169" s="2" t="s">
        <v>199</v>
      </c>
      <c r="AF169">
        <v>3</v>
      </c>
      <c r="AG169">
        <v>0</v>
      </c>
      <c r="AH169" t="s">
        <v>150</v>
      </c>
      <c r="AI169">
        <v>0</v>
      </c>
      <c r="AJ169">
        <v>11</v>
      </c>
      <c r="AK169">
        <f t="shared" ca="1" si="12"/>
        <v>44</v>
      </c>
      <c r="AL169">
        <f t="shared" ca="1" si="13"/>
        <v>12</v>
      </c>
      <c r="AM169" t="str">
        <f t="shared" si="14"/>
        <v>Actif</v>
      </c>
      <c r="AN169" s="2" t="str">
        <f t="shared" ca="1" si="15"/>
        <v>30-44 ans</v>
      </c>
      <c r="AO169" s="2" t="str">
        <f t="shared" si="16"/>
        <v>Exceeds</v>
      </c>
      <c r="AP169" s="2" t="str">
        <f t="shared" si="17"/>
        <v>SURVEILLER</v>
      </c>
    </row>
    <row r="170" spans="1:42">
      <c r="A170" s="2" t="s">
        <v>776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s="2" t="s">
        <v>15</v>
      </c>
      <c r="N170" s="2" t="s">
        <v>16</v>
      </c>
      <c r="O170">
        <v>1886</v>
      </c>
      <c r="P170" s="1">
        <v>29671</v>
      </c>
      <c r="Q170" s="2" t="s">
        <v>44</v>
      </c>
      <c r="R170" s="2" t="s">
        <v>31</v>
      </c>
      <c r="S170" s="2" t="s">
        <v>19</v>
      </c>
      <c r="T170" s="2" t="s">
        <v>20</v>
      </c>
      <c r="U170" s="2" t="s">
        <v>21</v>
      </c>
      <c r="V170" s="1">
        <v>40670</v>
      </c>
      <c r="W170" s="1">
        <v>43369</v>
      </c>
      <c r="X170" s="2" t="s">
        <v>86</v>
      </c>
      <c r="Y170" s="2" t="s">
        <v>35</v>
      </c>
      <c r="Z170" s="2" t="s">
        <v>24</v>
      </c>
      <c r="AA170" s="2" t="s">
        <v>25</v>
      </c>
      <c r="AB170">
        <v>22</v>
      </c>
      <c r="AC170" s="2" t="s">
        <v>38</v>
      </c>
      <c r="AD170" s="2" t="s">
        <v>39</v>
      </c>
      <c r="AE170" s="2" t="s">
        <v>405</v>
      </c>
      <c r="AF170">
        <v>4</v>
      </c>
      <c r="AG170">
        <v>0</v>
      </c>
      <c r="AH170">
        <v>43134</v>
      </c>
      <c r="AI170">
        <v>0</v>
      </c>
      <c r="AJ170">
        <v>16</v>
      </c>
      <c r="AK170">
        <f t="shared" ca="1" si="12"/>
        <v>45</v>
      </c>
      <c r="AL170">
        <f t="shared" ca="1" si="13"/>
        <v>7</v>
      </c>
      <c r="AM170" t="str">
        <f t="shared" si="14"/>
        <v>Volontaire</v>
      </c>
      <c r="AN170" s="2" t="str">
        <f t="shared" ca="1" si="15"/>
        <v>45-59 ans</v>
      </c>
      <c r="AO170" s="2" t="str">
        <f t="shared" si="16"/>
        <v>Fully Meets</v>
      </c>
      <c r="AP170" s="2" t="str">
        <f t="shared" si="17"/>
        <v>SURVEILLER</v>
      </c>
    </row>
    <row r="171" spans="1:42">
      <c r="A171" s="2" t="s">
        <v>777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s="2" t="s">
        <v>42</v>
      </c>
      <c r="N171" s="2" t="s">
        <v>16</v>
      </c>
      <c r="O171">
        <v>1770</v>
      </c>
      <c r="P171" s="1">
        <v>28933</v>
      </c>
      <c r="Q171" s="2" t="s">
        <v>17</v>
      </c>
      <c r="R171" s="2" t="s">
        <v>31</v>
      </c>
      <c r="S171" s="2" t="s">
        <v>19</v>
      </c>
      <c r="T171" s="2" t="s">
        <v>20</v>
      </c>
      <c r="U171" s="2" t="s">
        <v>21</v>
      </c>
      <c r="V171" s="1">
        <v>41493</v>
      </c>
      <c r="W171" s="1"/>
      <c r="X171" s="2" t="s">
        <v>22</v>
      </c>
      <c r="Y171" s="2" t="s">
        <v>23</v>
      </c>
      <c r="Z171" s="2" t="s">
        <v>24</v>
      </c>
      <c r="AA171" s="2" t="s">
        <v>93</v>
      </c>
      <c r="AB171">
        <v>18</v>
      </c>
      <c r="AC171" s="2" t="s">
        <v>26</v>
      </c>
      <c r="AD171" s="2" t="s">
        <v>39</v>
      </c>
      <c r="AE171" s="2" t="s">
        <v>275</v>
      </c>
      <c r="AF171">
        <v>3</v>
      </c>
      <c r="AG171">
        <v>0</v>
      </c>
      <c r="AH171" t="s">
        <v>78</v>
      </c>
      <c r="AI171">
        <v>0</v>
      </c>
      <c r="AJ171">
        <v>7</v>
      </c>
      <c r="AK171">
        <f t="shared" ca="1" si="12"/>
        <v>47</v>
      </c>
      <c r="AL171">
        <f t="shared" ca="1" si="13"/>
        <v>12</v>
      </c>
      <c r="AM171" t="str">
        <f t="shared" si="14"/>
        <v>Actif</v>
      </c>
      <c r="AN171" s="2" t="str">
        <f t="shared" ca="1" si="15"/>
        <v>45-59 ans</v>
      </c>
      <c r="AO171" s="2" t="str">
        <f t="shared" si="16"/>
        <v>Fully Meets</v>
      </c>
      <c r="AP171" s="2" t="str">
        <f t="shared" si="17"/>
        <v>FAIBLE</v>
      </c>
    </row>
    <row r="172" spans="1:42">
      <c r="A172" s="2" t="s">
        <v>778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s="2" t="s">
        <v>76</v>
      </c>
      <c r="N172" s="2" t="s">
        <v>123</v>
      </c>
      <c r="O172">
        <v>6070</v>
      </c>
      <c r="P172" s="1">
        <v>32273</v>
      </c>
      <c r="Q172" s="2" t="s">
        <v>44</v>
      </c>
      <c r="R172" s="2" t="s">
        <v>18</v>
      </c>
      <c r="S172" s="2" t="s">
        <v>19</v>
      </c>
      <c r="T172" s="2" t="s">
        <v>79</v>
      </c>
      <c r="U172" s="2" t="s">
        <v>71</v>
      </c>
      <c r="V172" s="1">
        <v>40564</v>
      </c>
      <c r="W172" s="1"/>
      <c r="X172" s="2" t="s">
        <v>22</v>
      </c>
      <c r="Y172" s="2" t="s">
        <v>23</v>
      </c>
      <c r="Z172" s="2" t="s">
        <v>36</v>
      </c>
      <c r="AA172" s="2" t="s">
        <v>191</v>
      </c>
      <c r="AB172">
        <v>6</v>
      </c>
      <c r="AC172" s="2" t="s">
        <v>73</v>
      </c>
      <c r="AD172" s="2" t="s">
        <v>27</v>
      </c>
      <c r="AE172" s="2" t="s">
        <v>335</v>
      </c>
      <c r="AF172">
        <v>4</v>
      </c>
      <c r="AG172">
        <v>5</v>
      </c>
      <c r="AH172" t="s">
        <v>75</v>
      </c>
      <c r="AI172">
        <v>0</v>
      </c>
      <c r="AJ172">
        <v>14</v>
      </c>
      <c r="AK172">
        <f t="shared" ca="1" si="12"/>
        <v>37</v>
      </c>
      <c r="AL172">
        <f t="shared" ca="1" si="13"/>
        <v>15</v>
      </c>
      <c r="AM172" t="str">
        <f t="shared" si="14"/>
        <v>Actif</v>
      </c>
      <c r="AN172" s="2" t="str">
        <f t="shared" ca="1" si="15"/>
        <v>30-44 ans</v>
      </c>
      <c r="AO172" s="2" t="str">
        <f t="shared" si="16"/>
        <v>Exceeds</v>
      </c>
      <c r="AP172" s="2" t="str">
        <f t="shared" si="17"/>
        <v>SURVEILLER</v>
      </c>
    </row>
    <row r="173" spans="1:42">
      <c r="A173" s="2" t="s">
        <v>779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s="2" t="s">
        <v>42</v>
      </c>
      <c r="N173" s="2" t="s">
        <v>16</v>
      </c>
      <c r="O173">
        <v>2122</v>
      </c>
      <c r="P173" s="1">
        <v>28120</v>
      </c>
      <c r="Q173" s="2" t="s">
        <v>44</v>
      </c>
      <c r="R173" s="2" t="s">
        <v>66</v>
      </c>
      <c r="S173" s="2" t="s">
        <v>19</v>
      </c>
      <c r="T173" s="2" t="s">
        <v>20</v>
      </c>
      <c r="U173" s="2" t="s">
        <v>21</v>
      </c>
      <c r="V173" s="1">
        <v>41493</v>
      </c>
      <c r="W173" s="1">
        <v>42628</v>
      </c>
      <c r="X173" s="2" t="s">
        <v>233</v>
      </c>
      <c r="Y173" s="2" t="s">
        <v>35</v>
      </c>
      <c r="Z173" s="2" t="s">
        <v>24</v>
      </c>
      <c r="AA173" s="2" t="s">
        <v>25</v>
      </c>
      <c r="AB173">
        <v>22</v>
      </c>
      <c r="AC173" s="2" t="s">
        <v>26</v>
      </c>
      <c r="AD173" s="2" t="s">
        <v>39</v>
      </c>
      <c r="AE173" s="2" t="s">
        <v>410</v>
      </c>
      <c r="AF173">
        <v>4</v>
      </c>
      <c r="AG173">
        <v>0</v>
      </c>
      <c r="AH173">
        <v>42649</v>
      </c>
      <c r="AI173">
        <v>0</v>
      </c>
      <c r="AJ173">
        <v>15</v>
      </c>
      <c r="AK173">
        <f t="shared" ca="1" si="12"/>
        <v>49</v>
      </c>
      <c r="AL173">
        <f t="shared" ca="1" si="13"/>
        <v>3</v>
      </c>
      <c r="AM173" t="str">
        <f t="shared" si="14"/>
        <v>Volontaire</v>
      </c>
      <c r="AN173" s="2" t="str">
        <f t="shared" ca="1" si="15"/>
        <v>45-59 ans</v>
      </c>
      <c r="AO173" s="2" t="str">
        <f t="shared" si="16"/>
        <v>Fully Meets</v>
      </c>
      <c r="AP173" s="2" t="str">
        <f t="shared" si="17"/>
        <v>SURVEILLER</v>
      </c>
    </row>
    <row r="174" spans="1:42">
      <c r="A174" s="2" t="s">
        <v>780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s="2" t="s">
        <v>42</v>
      </c>
      <c r="N174" s="2" t="s">
        <v>16</v>
      </c>
      <c r="O174">
        <v>2324</v>
      </c>
      <c r="P174" s="1">
        <v>30038</v>
      </c>
      <c r="Q174" s="2" t="s">
        <v>44</v>
      </c>
      <c r="R174" s="2" t="s">
        <v>18</v>
      </c>
      <c r="S174" s="2" t="s">
        <v>19</v>
      </c>
      <c r="T174" s="2" t="s">
        <v>20</v>
      </c>
      <c r="U174" s="2" t="s">
        <v>71</v>
      </c>
      <c r="V174" s="1">
        <v>41505</v>
      </c>
      <c r="W174" s="1"/>
      <c r="X174" s="2" t="s">
        <v>22</v>
      </c>
      <c r="Y174" s="2" t="s">
        <v>23</v>
      </c>
      <c r="Z174" s="2" t="s">
        <v>24</v>
      </c>
      <c r="AA174" s="2" t="s">
        <v>51</v>
      </c>
      <c r="AB174">
        <v>16</v>
      </c>
      <c r="AC174" s="2" t="s">
        <v>38</v>
      </c>
      <c r="AD174" s="2" t="s">
        <v>27</v>
      </c>
      <c r="AE174" s="2" t="s">
        <v>82</v>
      </c>
      <c r="AF174">
        <v>4</v>
      </c>
      <c r="AG174">
        <v>0</v>
      </c>
      <c r="AH174">
        <v>43801</v>
      </c>
      <c r="AI174">
        <v>0</v>
      </c>
      <c r="AJ174">
        <v>19</v>
      </c>
      <c r="AK174">
        <f t="shared" ca="1" si="12"/>
        <v>44</v>
      </c>
      <c r="AL174">
        <f t="shared" ca="1" si="13"/>
        <v>12</v>
      </c>
      <c r="AM174" t="str">
        <f t="shared" si="14"/>
        <v>Actif</v>
      </c>
      <c r="AN174" s="2" t="str">
        <f t="shared" ca="1" si="15"/>
        <v>30-44 ans</v>
      </c>
      <c r="AO174" s="2" t="str">
        <f t="shared" si="16"/>
        <v>Exceeds</v>
      </c>
      <c r="AP174" s="2" t="str">
        <f t="shared" si="17"/>
        <v>SURVEILLER</v>
      </c>
    </row>
    <row r="175" spans="1:42">
      <c r="A175" s="2" t="s">
        <v>781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s="2" t="s">
        <v>15</v>
      </c>
      <c r="N175" s="2" t="s">
        <v>16</v>
      </c>
      <c r="O175">
        <v>2122</v>
      </c>
      <c r="P175" s="1">
        <v>27689</v>
      </c>
      <c r="Q175" s="2" t="s">
        <v>44</v>
      </c>
      <c r="R175" s="2" t="s">
        <v>31</v>
      </c>
      <c r="S175" s="2" t="s">
        <v>19</v>
      </c>
      <c r="T175" s="2" t="s">
        <v>20</v>
      </c>
      <c r="U175" s="2" t="s">
        <v>71</v>
      </c>
      <c r="V175" s="1">
        <v>42051</v>
      </c>
      <c r="W175" s="1"/>
      <c r="X175" s="2" t="s">
        <v>22</v>
      </c>
      <c r="Y175" s="2" t="s">
        <v>23</v>
      </c>
      <c r="Z175" s="2" t="s">
        <v>24</v>
      </c>
      <c r="AA175" s="2" t="s">
        <v>51</v>
      </c>
      <c r="AB175">
        <v>16</v>
      </c>
      <c r="AC175" s="2" t="s">
        <v>244</v>
      </c>
      <c r="AD175" s="2" t="s">
        <v>39</v>
      </c>
      <c r="AE175" s="2" t="s">
        <v>57</v>
      </c>
      <c r="AF175">
        <v>3</v>
      </c>
      <c r="AG175">
        <v>0</v>
      </c>
      <c r="AH175" t="s">
        <v>240</v>
      </c>
      <c r="AI175">
        <v>0</v>
      </c>
      <c r="AJ175">
        <v>6</v>
      </c>
      <c r="AK175">
        <f t="shared" ca="1" si="12"/>
        <v>50</v>
      </c>
      <c r="AL175">
        <f t="shared" ca="1" si="13"/>
        <v>11</v>
      </c>
      <c r="AM175" t="str">
        <f t="shared" si="14"/>
        <v>Actif</v>
      </c>
      <c r="AN175" s="2" t="str">
        <f t="shared" ca="1" si="15"/>
        <v>45-59 ans</v>
      </c>
      <c r="AO175" s="2" t="str">
        <f t="shared" si="16"/>
        <v>Fully Meets</v>
      </c>
      <c r="AP175" s="2" t="str">
        <f t="shared" si="17"/>
        <v>FAIBLE</v>
      </c>
    </row>
    <row r="176" spans="1:42">
      <c r="A176" s="2" t="s">
        <v>782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s="2" t="s">
        <v>15</v>
      </c>
      <c r="N176" s="2" t="s">
        <v>16</v>
      </c>
      <c r="O176">
        <v>1844</v>
      </c>
      <c r="P176" s="1">
        <v>26709</v>
      </c>
      <c r="Q176" s="2" t="s">
        <v>44</v>
      </c>
      <c r="R176" s="2" t="s">
        <v>18</v>
      </c>
      <c r="S176" s="2" t="s">
        <v>19</v>
      </c>
      <c r="T176" s="2" t="s">
        <v>79</v>
      </c>
      <c r="U176" s="2" t="s">
        <v>71</v>
      </c>
      <c r="V176" s="1">
        <v>40735</v>
      </c>
      <c r="W176" s="1">
        <v>42322</v>
      </c>
      <c r="X176" s="2" t="s">
        <v>80</v>
      </c>
      <c r="Y176" s="2" t="s">
        <v>35</v>
      </c>
      <c r="Z176" s="2" t="s">
        <v>24</v>
      </c>
      <c r="AA176" s="2" t="s">
        <v>55</v>
      </c>
      <c r="AB176">
        <v>39</v>
      </c>
      <c r="AC176" s="2" t="s">
        <v>73</v>
      </c>
      <c r="AD176" s="2" t="s">
        <v>27</v>
      </c>
      <c r="AE176" s="2" t="s">
        <v>57</v>
      </c>
      <c r="AF176">
        <v>4</v>
      </c>
      <c r="AG176">
        <v>0</v>
      </c>
      <c r="AH176">
        <v>42037</v>
      </c>
      <c r="AI176">
        <v>0</v>
      </c>
      <c r="AJ176">
        <v>17</v>
      </c>
      <c r="AK176">
        <f t="shared" ca="1" si="12"/>
        <v>53</v>
      </c>
      <c r="AL176">
        <f t="shared" ca="1" si="13"/>
        <v>4</v>
      </c>
      <c r="AM176" t="str">
        <f t="shared" si="14"/>
        <v>Volontaire</v>
      </c>
      <c r="AN176" s="2" t="str">
        <f t="shared" ca="1" si="15"/>
        <v>45-59 ans</v>
      </c>
      <c r="AO176" s="2" t="str">
        <f t="shared" si="16"/>
        <v>Exceeds</v>
      </c>
      <c r="AP176" s="2" t="str">
        <f t="shared" si="17"/>
        <v>SURVEILLER</v>
      </c>
    </row>
    <row r="177" spans="1:42">
      <c r="A177" s="2" t="s">
        <v>783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s="2" t="s">
        <v>15</v>
      </c>
      <c r="N177" s="2" t="s">
        <v>16</v>
      </c>
      <c r="O177">
        <v>1938</v>
      </c>
      <c r="P177" s="1">
        <v>26553</v>
      </c>
      <c r="Q177" s="2" t="s">
        <v>17</v>
      </c>
      <c r="R177" s="2" t="s">
        <v>66</v>
      </c>
      <c r="S177" s="2" t="s">
        <v>19</v>
      </c>
      <c r="T177" s="2" t="s">
        <v>20</v>
      </c>
      <c r="U177" s="2" t="s">
        <v>21</v>
      </c>
      <c r="V177" s="1">
        <v>41176</v>
      </c>
      <c r="W177" s="1">
        <v>43004</v>
      </c>
      <c r="X177" s="2" t="s">
        <v>46</v>
      </c>
      <c r="Y177" s="2" t="s">
        <v>35</v>
      </c>
      <c r="Z177" s="2" t="s">
        <v>24</v>
      </c>
      <c r="AA177" s="2" t="s">
        <v>59</v>
      </c>
      <c r="AB177">
        <v>11</v>
      </c>
      <c r="AC177" s="2" t="s">
        <v>38</v>
      </c>
      <c r="AD177" s="2" t="s">
        <v>39</v>
      </c>
      <c r="AE177" s="2" t="s">
        <v>416</v>
      </c>
      <c r="AF177">
        <v>4</v>
      </c>
      <c r="AG177">
        <v>0</v>
      </c>
      <c r="AH177">
        <v>42739</v>
      </c>
      <c r="AI177">
        <v>0</v>
      </c>
      <c r="AJ177">
        <v>18</v>
      </c>
      <c r="AK177">
        <f t="shared" ca="1" si="12"/>
        <v>53</v>
      </c>
      <c r="AL177">
        <f t="shared" ca="1" si="13"/>
        <v>5</v>
      </c>
      <c r="AM177" t="str">
        <f t="shared" si="14"/>
        <v>Involontaire</v>
      </c>
      <c r="AN177" s="2" t="str">
        <f t="shared" ca="1" si="15"/>
        <v>45-59 ans</v>
      </c>
      <c r="AO177" s="2" t="str">
        <f t="shared" si="16"/>
        <v>Fully Meets</v>
      </c>
      <c r="AP177" s="2" t="str">
        <f t="shared" si="17"/>
        <v>SURVEILLER</v>
      </c>
    </row>
    <row r="178" spans="1:42">
      <c r="A178" s="2" t="s">
        <v>784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s="2" t="s">
        <v>15</v>
      </c>
      <c r="N178" s="2" t="s">
        <v>16</v>
      </c>
      <c r="O178">
        <v>2189</v>
      </c>
      <c r="P178" s="1">
        <v>31600</v>
      </c>
      <c r="Q178" s="2" t="s">
        <v>44</v>
      </c>
      <c r="R178" s="2" t="s">
        <v>18</v>
      </c>
      <c r="S178" s="2" t="s">
        <v>19</v>
      </c>
      <c r="T178" s="2" t="s">
        <v>20</v>
      </c>
      <c r="U178" s="2" t="s">
        <v>21</v>
      </c>
      <c r="V178" s="1">
        <v>41791</v>
      </c>
      <c r="W178" s="1"/>
      <c r="X178" s="2" t="s">
        <v>22</v>
      </c>
      <c r="Y178" s="2" t="s">
        <v>23</v>
      </c>
      <c r="Z178" s="2" t="s">
        <v>24</v>
      </c>
      <c r="AA178" s="2" t="s">
        <v>68</v>
      </c>
      <c r="AB178">
        <v>19</v>
      </c>
      <c r="AC178" s="2" t="s">
        <v>26</v>
      </c>
      <c r="AD178" s="2" t="s">
        <v>39</v>
      </c>
      <c r="AE178" s="2" t="s">
        <v>28</v>
      </c>
      <c r="AF178">
        <v>4</v>
      </c>
      <c r="AG178">
        <v>0</v>
      </c>
      <c r="AH178" t="s">
        <v>298</v>
      </c>
      <c r="AI178">
        <v>0</v>
      </c>
      <c r="AJ178">
        <v>14</v>
      </c>
      <c r="AK178">
        <f t="shared" ca="1" si="12"/>
        <v>39</v>
      </c>
      <c r="AL178">
        <f t="shared" ca="1" si="13"/>
        <v>11</v>
      </c>
      <c r="AM178" t="str">
        <f t="shared" si="14"/>
        <v>Actif</v>
      </c>
      <c r="AN178" s="2" t="str">
        <f t="shared" ca="1" si="15"/>
        <v>30-44 ans</v>
      </c>
      <c r="AO178" s="2" t="str">
        <f t="shared" si="16"/>
        <v>Fully Meets</v>
      </c>
      <c r="AP178" s="2" t="str">
        <f t="shared" si="17"/>
        <v>SURVEILLER</v>
      </c>
    </row>
    <row r="179" spans="1:42">
      <c r="A179" s="2" t="s">
        <v>785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s="2" t="s">
        <v>42</v>
      </c>
      <c r="N179" s="2" t="s">
        <v>16</v>
      </c>
      <c r="O179">
        <v>2324</v>
      </c>
      <c r="P179" s="1">
        <v>27997</v>
      </c>
      <c r="Q179" s="2" t="s">
        <v>44</v>
      </c>
      <c r="R179" s="2" t="s">
        <v>31</v>
      </c>
      <c r="S179" s="2" t="s">
        <v>19</v>
      </c>
      <c r="T179" s="2" t="s">
        <v>20</v>
      </c>
      <c r="U179" s="2" t="s">
        <v>21</v>
      </c>
      <c r="V179" s="1">
        <v>42679</v>
      </c>
      <c r="W179" s="1"/>
      <c r="X179" s="2" t="s">
        <v>22</v>
      </c>
      <c r="Y179" s="2" t="s">
        <v>23</v>
      </c>
      <c r="Z179" s="2" t="s">
        <v>24</v>
      </c>
      <c r="AA179" s="2" t="s">
        <v>55</v>
      </c>
      <c r="AC179" s="2" t="s">
        <v>26</v>
      </c>
      <c r="AD179" s="2" t="s">
        <v>39</v>
      </c>
      <c r="AE179" s="2" t="s">
        <v>57</v>
      </c>
      <c r="AF179">
        <v>3</v>
      </c>
      <c r="AG179">
        <v>0</v>
      </c>
      <c r="AH179" t="s">
        <v>150</v>
      </c>
      <c r="AI179">
        <v>0</v>
      </c>
      <c r="AJ179">
        <v>4</v>
      </c>
      <c r="AK179">
        <f t="shared" ca="1" si="12"/>
        <v>49</v>
      </c>
      <c r="AL179">
        <f t="shared" ca="1" si="13"/>
        <v>9</v>
      </c>
      <c r="AM179" t="str">
        <f t="shared" si="14"/>
        <v>Actif</v>
      </c>
      <c r="AN179" s="2" t="str">
        <f t="shared" ca="1" si="15"/>
        <v>45-59 ans</v>
      </c>
      <c r="AO179" s="2" t="str">
        <f t="shared" si="16"/>
        <v>Fully Meets</v>
      </c>
      <c r="AP179" s="2" t="str">
        <f t="shared" si="17"/>
        <v>FAIBLE</v>
      </c>
    </row>
    <row r="180" spans="1:42">
      <c r="A180" s="2" t="s">
        <v>786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s="2" t="s">
        <v>42</v>
      </c>
      <c r="N180" s="2" t="s">
        <v>16</v>
      </c>
      <c r="O180">
        <v>2176</v>
      </c>
      <c r="P180" s="1">
        <v>31697</v>
      </c>
      <c r="Q180" s="2" t="s">
        <v>44</v>
      </c>
      <c r="R180" s="2" t="s">
        <v>31</v>
      </c>
      <c r="S180" s="2" t="s">
        <v>19</v>
      </c>
      <c r="T180" s="2" t="s">
        <v>20</v>
      </c>
      <c r="U180" s="2" t="s">
        <v>91</v>
      </c>
      <c r="V180" s="1">
        <v>40670</v>
      </c>
      <c r="W180" s="1">
        <v>41140</v>
      </c>
      <c r="X180" s="2" t="s">
        <v>80</v>
      </c>
      <c r="Y180" s="2" t="s">
        <v>35</v>
      </c>
      <c r="Z180" s="2" t="s">
        <v>24</v>
      </c>
      <c r="AA180" s="2" t="s">
        <v>59</v>
      </c>
      <c r="AB180">
        <v>11</v>
      </c>
      <c r="AC180" s="2" t="s">
        <v>26</v>
      </c>
      <c r="AD180" s="2" t="s">
        <v>39</v>
      </c>
      <c r="AE180" s="2" t="s">
        <v>57</v>
      </c>
      <c r="AF180">
        <v>4</v>
      </c>
      <c r="AG180">
        <v>0</v>
      </c>
      <c r="AH180">
        <v>40946</v>
      </c>
      <c r="AI180">
        <v>0</v>
      </c>
      <c r="AJ180">
        <v>16</v>
      </c>
      <c r="AK180">
        <f t="shared" ca="1" si="12"/>
        <v>39</v>
      </c>
      <c r="AL180">
        <f t="shared" ca="1" si="13"/>
        <v>1</v>
      </c>
      <c r="AM180" t="str">
        <f t="shared" si="14"/>
        <v>Volontaire</v>
      </c>
      <c r="AN180" s="2" t="str">
        <f t="shared" ca="1" si="15"/>
        <v>30-44 ans</v>
      </c>
      <c r="AO180" s="2" t="str">
        <f t="shared" si="16"/>
        <v>Fully Meets</v>
      </c>
      <c r="AP180" s="2" t="str">
        <f t="shared" si="17"/>
        <v>SURVEILLER</v>
      </c>
    </row>
    <row r="181" spans="1:42">
      <c r="A181" s="2" t="s">
        <v>787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s="2" t="s">
        <v>15</v>
      </c>
      <c r="N181" s="2" t="s">
        <v>16</v>
      </c>
      <c r="O181">
        <v>2451</v>
      </c>
      <c r="P181" s="1">
        <v>27221</v>
      </c>
      <c r="Q181" s="2" t="s">
        <v>44</v>
      </c>
      <c r="R181" s="2" t="s">
        <v>31</v>
      </c>
      <c r="S181" s="2" t="s">
        <v>19</v>
      </c>
      <c r="T181" s="2" t="s">
        <v>20</v>
      </c>
      <c r="U181" s="2" t="s">
        <v>21</v>
      </c>
      <c r="V181" s="1">
        <v>41589</v>
      </c>
      <c r="W181" s="1"/>
      <c r="X181" s="2" t="s">
        <v>22</v>
      </c>
      <c r="Y181" s="2" t="s">
        <v>23</v>
      </c>
      <c r="Z181" s="2" t="s">
        <v>24</v>
      </c>
      <c r="AA181" s="2" t="s">
        <v>72</v>
      </c>
      <c r="AB181">
        <v>12</v>
      </c>
      <c r="AC181" s="2" t="s">
        <v>26</v>
      </c>
      <c r="AD181" s="2" t="s">
        <v>39</v>
      </c>
      <c r="AE181" s="2" t="s">
        <v>199</v>
      </c>
      <c r="AF181">
        <v>3</v>
      </c>
      <c r="AG181">
        <v>0</v>
      </c>
      <c r="AH181" t="s">
        <v>211</v>
      </c>
      <c r="AI181">
        <v>0</v>
      </c>
      <c r="AJ181">
        <v>11</v>
      </c>
      <c r="AK181">
        <f t="shared" ca="1" si="12"/>
        <v>51</v>
      </c>
      <c r="AL181">
        <f t="shared" ca="1" si="13"/>
        <v>12</v>
      </c>
      <c r="AM181" t="str">
        <f t="shared" si="14"/>
        <v>Actif</v>
      </c>
      <c r="AN181" s="2" t="str">
        <f t="shared" ca="1" si="15"/>
        <v>45-59 ans</v>
      </c>
      <c r="AO181" s="2" t="str">
        <f t="shared" si="16"/>
        <v>Fully Meets</v>
      </c>
      <c r="AP181" s="2" t="str">
        <f t="shared" si="17"/>
        <v>SURVEILLER</v>
      </c>
    </row>
    <row r="182" spans="1:42">
      <c r="A182" s="2" t="s">
        <v>788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s="2" t="s">
        <v>60</v>
      </c>
      <c r="N182" s="2" t="s">
        <v>16</v>
      </c>
      <c r="O182">
        <v>2135</v>
      </c>
      <c r="P182" s="1">
        <v>31969</v>
      </c>
      <c r="Q182" s="2" t="s">
        <v>44</v>
      </c>
      <c r="R182" s="2" t="s">
        <v>18</v>
      </c>
      <c r="S182" s="2" t="s">
        <v>19</v>
      </c>
      <c r="T182" s="2" t="s">
        <v>20</v>
      </c>
      <c r="U182" s="2" t="s">
        <v>111</v>
      </c>
      <c r="V182" s="1">
        <v>41589</v>
      </c>
      <c r="W182" s="1"/>
      <c r="X182" s="2" t="s">
        <v>22</v>
      </c>
      <c r="Y182" s="2" t="s">
        <v>23</v>
      </c>
      <c r="Z182" s="2" t="s">
        <v>62</v>
      </c>
      <c r="AA182" s="2" t="s">
        <v>63</v>
      </c>
      <c r="AB182">
        <v>10</v>
      </c>
      <c r="AC182" s="2" t="s">
        <v>56</v>
      </c>
      <c r="AD182" s="2" t="s">
        <v>39</v>
      </c>
      <c r="AE182" s="2" t="s">
        <v>109</v>
      </c>
      <c r="AF182">
        <v>5</v>
      </c>
      <c r="AG182">
        <v>4</v>
      </c>
      <c r="AH182" t="s">
        <v>104</v>
      </c>
      <c r="AI182">
        <v>0</v>
      </c>
      <c r="AJ182">
        <v>14</v>
      </c>
      <c r="AK182">
        <f t="shared" ca="1" si="12"/>
        <v>38</v>
      </c>
      <c r="AL182">
        <f t="shared" ca="1" si="13"/>
        <v>12</v>
      </c>
      <c r="AM182" t="str">
        <f t="shared" si="14"/>
        <v>Actif</v>
      </c>
      <c r="AN182" s="2" t="str">
        <f t="shared" ca="1" si="15"/>
        <v>30-44 ans</v>
      </c>
      <c r="AO182" s="2" t="str">
        <f t="shared" si="16"/>
        <v>Fully Meets</v>
      </c>
      <c r="AP182" s="2" t="str">
        <f t="shared" si="17"/>
        <v>SURVEILLER</v>
      </c>
    </row>
    <row r="183" spans="1:42">
      <c r="A183" s="2" t="s">
        <v>789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s="2" t="s">
        <v>15</v>
      </c>
      <c r="N183" s="2" t="s">
        <v>16</v>
      </c>
      <c r="O183">
        <v>2330</v>
      </c>
      <c r="P183" s="1">
        <v>28451</v>
      </c>
      <c r="Q183" s="2" t="s">
        <v>44</v>
      </c>
      <c r="R183" s="2" t="s">
        <v>31</v>
      </c>
      <c r="S183" s="2" t="s">
        <v>19</v>
      </c>
      <c r="T183" s="2" t="s">
        <v>20</v>
      </c>
      <c r="U183" s="2" t="s">
        <v>21</v>
      </c>
      <c r="V183" s="1">
        <v>40694</v>
      </c>
      <c r="W183" s="1"/>
      <c r="X183" s="2" t="s">
        <v>22</v>
      </c>
      <c r="Y183" s="2" t="s">
        <v>23</v>
      </c>
      <c r="Z183" s="2" t="s">
        <v>24</v>
      </c>
      <c r="AA183" s="2" t="s">
        <v>81</v>
      </c>
      <c r="AB183">
        <v>14</v>
      </c>
      <c r="AC183" s="2" t="s">
        <v>38</v>
      </c>
      <c r="AD183" s="2" t="s">
        <v>39</v>
      </c>
      <c r="AE183" s="2" t="s">
        <v>57</v>
      </c>
      <c r="AF183">
        <v>4</v>
      </c>
      <c r="AG183">
        <v>0</v>
      </c>
      <c r="AH183">
        <v>43739</v>
      </c>
      <c r="AI183">
        <v>0</v>
      </c>
      <c r="AJ183">
        <v>8</v>
      </c>
      <c r="AK183">
        <f t="shared" ca="1" si="12"/>
        <v>48</v>
      </c>
      <c r="AL183">
        <f t="shared" ca="1" si="13"/>
        <v>14</v>
      </c>
      <c r="AM183" t="str">
        <f t="shared" si="14"/>
        <v>Actif</v>
      </c>
      <c r="AN183" s="2" t="str">
        <f t="shared" ca="1" si="15"/>
        <v>45-59 ans</v>
      </c>
      <c r="AO183" s="2" t="str">
        <f t="shared" si="16"/>
        <v>Fully Meets</v>
      </c>
      <c r="AP183" s="2" t="str">
        <f t="shared" si="17"/>
        <v>FAIBLE</v>
      </c>
    </row>
    <row r="184" spans="1:42">
      <c r="A184" s="2" t="s">
        <v>790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s="2" t="s">
        <v>42</v>
      </c>
      <c r="N184" s="2" t="s">
        <v>16</v>
      </c>
      <c r="O184">
        <v>2149</v>
      </c>
      <c r="P184" s="1">
        <v>31918</v>
      </c>
      <c r="Q184" s="2" t="s">
        <v>44</v>
      </c>
      <c r="R184" s="2" t="s">
        <v>18</v>
      </c>
      <c r="S184" s="2" t="s">
        <v>19</v>
      </c>
      <c r="T184" s="2" t="s">
        <v>20</v>
      </c>
      <c r="U184" s="2" t="s">
        <v>71</v>
      </c>
      <c r="V184" s="1">
        <v>42093</v>
      </c>
      <c r="W184" s="1"/>
      <c r="X184" s="2" t="s">
        <v>22</v>
      </c>
      <c r="Y184" s="2" t="s">
        <v>23</v>
      </c>
      <c r="Z184" s="2" t="s">
        <v>24</v>
      </c>
      <c r="AA184" s="2" t="s">
        <v>68</v>
      </c>
      <c r="AB184">
        <v>19</v>
      </c>
      <c r="AC184" s="2" t="s">
        <v>26</v>
      </c>
      <c r="AD184" s="2" t="s">
        <v>39</v>
      </c>
      <c r="AE184" s="2" t="s">
        <v>57</v>
      </c>
      <c r="AF184">
        <v>5</v>
      </c>
      <c r="AG184">
        <v>0</v>
      </c>
      <c r="AH184">
        <v>43648</v>
      </c>
      <c r="AI184">
        <v>0</v>
      </c>
      <c r="AJ184">
        <v>16</v>
      </c>
      <c r="AK184">
        <f t="shared" ca="1" si="12"/>
        <v>38</v>
      </c>
      <c r="AL184">
        <f t="shared" ca="1" si="13"/>
        <v>11</v>
      </c>
      <c r="AM184" t="str">
        <f t="shared" si="14"/>
        <v>Actif</v>
      </c>
      <c r="AN184" s="2" t="str">
        <f t="shared" ca="1" si="15"/>
        <v>30-44 ans</v>
      </c>
      <c r="AO184" s="2" t="str">
        <f t="shared" si="16"/>
        <v>Fully Meets</v>
      </c>
      <c r="AP184" s="2" t="str">
        <f t="shared" si="17"/>
        <v>SURVEILLER</v>
      </c>
    </row>
    <row r="185" spans="1:42">
      <c r="A185" s="2" t="s">
        <v>791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s="2" t="s">
        <v>15</v>
      </c>
      <c r="N185" s="2" t="s">
        <v>16</v>
      </c>
      <c r="O185">
        <v>2184</v>
      </c>
      <c r="P185" s="1">
        <v>31959</v>
      </c>
      <c r="Q185" s="2" t="s">
        <v>44</v>
      </c>
      <c r="R185" s="2" t="s">
        <v>31</v>
      </c>
      <c r="S185" s="2" t="s">
        <v>19</v>
      </c>
      <c r="T185" s="2" t="s">
        <v>20</v>
      </c>
      <c r="U185" s="2" t="s">
        <v>71</v>
      </c>
      <c r="V185" s="1">
        <v>41456</v>
      </c>
      <c r="W185" s="1"/>
      <c r="X185" s="2" t="s">
        <v>22</v>
      </c>
      <c r="Y185" s="2" t="s">
        <v>23</v>
      </c>
      <c r="Z185" s="2" t="s">
        <v>24</v>
      </c>
      <c r="AA185" s="2" t="s">
        <v>47</v>
      </c>
      <c r="AB185">
        <v>20</v>
      </c>
      <c r="AC185" s="2" t="s">
        <v>117</v>
      </c>
      <c r="AD185" s="2" t="s">
        <v>39</v>
      </c>
      <c r="AE185" s="2" t="s">
        <v>422</v>
      </c>
      <c r="AF185">
        <v>3</v>
      </c>
      <c r="AG185">
        <v>0</v>
      </c>
      <c r="AH185" t="s">
        <v>167</v>
      </c>
      <c r="AI185">
        <v>0</v>
      </c>
      <c r="AJ185">
        <v>20</v>
      </c>
      <c r="AK185">
        <f t="shared" ca="1" si="12"/>
        <v>38</v>
      </c>
      <c r="AL185">
        <f t="shared" ca="1" si="13"/>
        <v>12</v>
      </c>
      <c r="AM185" t="str">
        <f t="shared" si="14"/>
        <v>Actif</v>
      </c>
      <c r="AN185" s="2" t="str">
        <f t="shared" ca="1" si="15"/>
        <v>30-44 ans</v>
      </c>
      <c r="AO185" s="2" t="str">
        <f t="shared" si="16"/>
        <v>Fully Meets</v>
      </c>
      <c r="AP185" s="2" t="str">
        <f t="shared" si="17"/>
        <v>SURVEILLER</v>
      </c>
    </row>
    <row r="186" spans="1:42">
      <c r="A186" s="2" t="s">
        <v>792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s="2" t="s">
        <v>151</v>
      </c>
      <c r="N186" s="2" t="s">
        <v>88</v>
      </c>
      <c r="O186">
        <v>78789</v>
      </c>
      <c r="P186" s="1">
        <v>30688</v>
      </c>
      <c r="Q186" s="2" t="s">
        <v>17</v>
      </c>
      <c r="R186" s="2" t="s">
        <v>31</v>
      </c>
      <c r="S186" s="2" t="s">
        <v>19</v>
      </c>
      <c r="T186" s="2" t="s">
        <v>20</v>
      </c>
      <c r="U186" s="2" t="s">
        <v>91</v>
      </c>
      <c r="V186" s="1">
        <v>42528</v>
      </c>
      <c r="W186" s="1"/>
      <c r="X186" s="2" t="s">
        <v>22</v>
      </c>
      <c r="Y186" s="2" t="s">
        <v>23</v>
      </c>
      <c r="Z186" s="2" t="s">
        <v>154</v>
      </c>
      <c r="AA186" s="2" t="s">
        <v>180</v>
      </c>
      <c r="AB186">
        <v>21</v>
      </c>
      <c r="AC186" s="2" t="s">
        <v>244</v>
      </c>
      <c r="AD186" s="2" t="s">
        <v>39</v>
      </c>
      <c r="AE186" s="2" t="s">
        <v>249</v>
      </c>
      <c r="AF186">
        <v>4</v>
      </c>
      <c r="AG186">
        <v>0</v>
      </c>
      <c r="AH186" t="s">
        <v>246</v>
      </c>
      <c r="AI186">
        <v>0</v>
      </c>
      <c r="AJ186">
        <v>7</v>
      </c>
      <c r="AK186">
        <f t="shared" ca="1" si="12"/>
        <v>42</v>
      </c>
      <c r="AL186">
        <f t="shared" ca="1" si="13"/>
        <v>9</v>
      </c>
      <c r="AM186" t="str">
        <f t="shared" si="14"/>
        <v>Actif</v>
      </c>
      <c r="AN186" s="2" t="str">
        <f t="shared" ca="1" si="15"/>
        <v>30-44 ans</v>
      </c>
      <c r="AO186" s="2" t="str">
        <f t="shared" si="16"/>
        <v>Fully Meets</v>
      </c>
      <c r="AP186" s="2" t="str">
        <f t="shared" si="17"/>
        <v>FAIBLE</v>
      </c>
    </row>
    <row r="187" spans="1:42">
      <c r="A187" s="2" t="s">
        <v>793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s="2" t="s">
        <v>15</v>
      </c>
      <c r="N187" s="2" t="s">
        <v>16</v>
      </c>
      <c r="O187">
        <v>1760</v>
      </c>
      <c r="P187" s="1">
        <v>24988</v>
      </c>
      <c r="Q187" s="2" t="s">
        <v>44</v>
      </c>
      <c r="R187" s="2" t="s">
        <v>18</v>
      </c>
      <c r="S187" s="2" t="s">
        <v>19</v>
      </c>
      <c r="T187" s="2" t="s">
        <v>20</v>
      </c>
      <c r="U187" s="2" t="s">
        <v>71</v>
      </c>
      <c r="V187" s="1">
        <v>40943</v>
      </c>
      <c r="W187" s="1">
        <v>42685</v>
      </c>
      <c r="X187" s="2" t="s">
        <v>80</v>
      </c>
      <c r="Y187" s="2" t="s">
        <v>35</v>
      </c>
      <c r="Z187" s="2" t="s">
        <v>24</v>
      </c>
      <c r="AA187" s="2" t="s">
        <v>93</v>
      </c>
      <c r="AB187">
        <v>18</v>
      </c>
      <c r="AC187" s="2" t="s">
        <v>73</v>
      </c>
      <c r="AD187" s="2" t="s">
        <v>39</v>
      </c>
      <c r="AE187" s="2" t="s">
        <v>424</v>
      </c>
      <c r="AF187">
        <v>4</v>
      </c>
      <c r="AG187">
        <v>0</v>
      </c>
      <c r="AH187">
        <v>42492</v>
      </c>
      <c r="AI187">
        <v>0</v>
      </c>
      <c r="AJ187">
        <v>17</v>
      </c>
      <c r="AK187">
        <f t="shared" ca="1" si="12"/>
        <v>57</v>
      </c>
      <c r="AL187">
        <f t="shared" ca="1" si="13"/>
        <v>4</v>
      </c>
      <c r="AM187" t="str">
        <f t="shared" si="14"/>
        <v>Volontaire</v>
      </c>
      <c r="AN187" s="2" t="str">
        <f t="shared" ca="1" si="15"/>
        <v>45-59 ans</v>
      </c>
      <c r="AO187" s="2" t="str">
        <f t="shared" si="16"/>
        <v>Fully Meets</v>
      </c>
      <c r="AP187" s="2" t="str">
        <f t="shared" si="17"/>
        <v>SURVEILLER</v>
      </c>
    </row>
    <row r="188" spans="1:42">
      <c r="A188" s="2" t="s">
        <v>794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s="2" t="s">
        <v>15</v>
      </c>
      <c r="N188" s="2" t="s">
        <v>16</v>
      </c>
      <c r="O188">
        <v>2346</v>
      </c>
      <c r="P188" s="1">
        <v>28025</v>
      </c>
      <c r="Q188" s="2" t="s">
        <v>44</v>
      </c>
      <c r="R188" s="2" t="s">
        <v>18</v>
      </c>
      <c r="S188" s="2" t="s">
        <v>19</v>
      </c>
      <c r="T188" s="2" t="s">
        <v>20</v>
      </c>
      <c r="U188" s="2" t="s">
        <v>21</v>
      </c>
      <c r="V188" s="1">
        <v>42093</v>
      </c>
      <c r="W188" s="1"/>
      <c r="X188" s="2" t="s">
        <v>22</v>
      </c>
      <c r="Y188" s="2" t="s">
        <v>23</v>
      </c>
      <c r="Z188" s="2" t="s">
        <v>24</v>
      </c>
      <c r="AA188" s="2" t="s">
        <v>25</v>
      </c>
      <c r="AB188">
        <v>22</v>
      </c>
      <c r="AC188" s="2" t="s">
        <v>117</v>
      </c>
      <c r="AD188" s="2" t="s">
        <v>39</v>
      </c>
      <c r="AE188" s="2" t="s">
        <v>57</v>
      </c>
      <c r="AF188">
        <v>4</v>
      </c>
      <c r="AG188">
        <v>0</v>
      </c>
      <c r="AH188" t="s">
        <v>150</v>
      </c>
      <c r="AI188">
        <v>0</v>
      </c>
      <c r="AJ188">
        <v>10</v>
      </c>
      <c r="AK188">
        <f t="shared" ca="1" si="12"/>
        <v>49</v>
      </c>
      <c r="AL188">
        <f t="shared" ca="1" si="13"/>
        <v>11</v>
      </c>
      <c r="AM188" t="str">
        <f t="shared" si="14"/>
        <v>Actif</v>
      </c>
      <c r="AN188" s="2" t="str">
        <f t="shared" ca="1" si="15"/>
        <v>45-59 ans</v>
      </c>
      <c r="AO188" s="2" t="str">
        <f t="shared" si="16"/>
        <v>Fully Meets</v>
      </c>
      <c r="AP188" s="2" t="str">
        <f t="shared" si="17"/>
        <v>FAIBLE</v>
      </c>
    </row>
    <row r="189" spans="1:42">
      <c r="A189" s="2" t="s">
        <v>795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s="2" t="s">
        <v>133</v>
      </c>
      <c r="N189" s="2" t="s">
        <v>16</v>
      </c>
      <c r="O189">
        <v>2045</v>
      </c>
      <c r="P189" s="1">
        <v>29867</v>
      </c>
      <c r="Q189" s="2" t="s">
        <v>17</v>
      </c>
      <c r="R189" s="2" t="s">
        <v>18</v>
      </c>
      <c r="S189" s="2" t="s">
        <v>19</v>
      </c>
      <c r="T189" s="2" t="s">
        <v>425</v>
      </c>
      <c r="U189" s="2" t="s">
        <v>426</v>
      </c>
      <c r="V189" s="1">
        <v>41137</v>
      </c>
      <c r="W189" s="1"/>
      <c r="X189" s="2" t="s">
        <v>22</v>
      </c>
      <c r="Y189" s="2" t="s">
        <v>23</v>
      </c>
      <c r="Z189" s="2" t="s">
        <v>24</v>
      </c>
      <c r="AA189" s="2" t="s">
        <v>135</v>
      </c>
      <c r="AB189">
        <v>2</v>
      </c>
      <c r="AC189" s="2" t="s">
        <v>38</v>
      </c>
      <c r="AD189" s="2" t="s">
        <v>39</v>
      </c>
      <c r="AE189" s="2" t="s">
        <v>428</v>
      </c>
      <c r="AF189">
        <v>3</v>
      </c>
      <c r="AG189">
        <v>0</v>
      </c>
      <c r="AH189" t="s">
        <v>104</v>
      </c>
      <c r="AI189">
        <v>0</v>
      </c>
      <c r="AJ189">
        <v>2</v>
      </c>
      <c r="AK189">
        <f t="shared" ca="1" si="12"/>
        <v>44</v>
      </c>
      <c r="AL189">
        <f t="shared" ca="1" si="13"/>
        <v>13</v>
      </c>
      <c r="AM189" t="str">
        <f t="shared" si="14"/>
        <v>Actif</v>
      </c>
      <c r="AN189" s="2" t="str">
        <f t="shared" ca="1" si="15"/>
        <v>30-44 ans</v>
      </c>
      <c r="AO189" s="2" t="str">
        <f t="shared" si="16"/>
        <v>Fully Meets</v>
      </c>
      <c r="AP189" s="2" t="str">
        <f t="shared" si="17"/>
        <v>FAIBLE</v>
      </c>
    </row>
    <row r="190" spans="1:42">
      <c r="A190" s="2" t="s">
        <v>796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s="2" t="s">
        <v>42</v>
      </c>
      <c r="N190" s="2" t="s">
        <v>16</v>
      </c>
      <c r="O190">
        <v>2472</v>
      </c>
      <c r="P190" s="1">
        <v>31227</v>
      </c>
      <c r="Q190" s="2" t="s">
        <v>17</v>
      </c>
      <c r="R190" s="2" t="s">
        <v>18</v>
      </c>
      <c r="S190" s="2" t="s">
        <v>19</v>
      </c>
      <c r="T190" s="2" t="s">
        <v>20</v>
      </c>
      <c r="U190" s="2" t="s">
        <v>21</v>
      </c>
      <c r="V190" s="1">
        <v>40770</v>
      </c>
      <c r="W190" s="1">
        <v>41738</v>
      </c>
      <c r="X190" s="2" t="s">
        <v>86</v>
      </c>
      <c r="Y190" s="2" t="s">
        <v>35</v>
      </c>
      <c r="Z190" s="2" t="s">
        <v>24</v>
      </c>
      <c r="AA190" s="2" t="s">
        <v>72</v>
      </c>
      <c r="AB190">
        <v>12</v>
      </c>
      <c r="AC190" s="2" t="s">
        <v>26</v>
      </c>
      <c r="AD190" s="2" t="s">
        <v>230</v>
      </c>
      <c r="AE190" s="2" t="s">
        <v>181</v>
      </c>
      <c r="AF190">
        <v>2</v>
      </c>
      <c r="AG190">
        <v>0</v>
      </c>
      <c r="AH190" t="s">
        <v>430</v>
      </c>
      <c r="AI190">
        <v>6</v>
      </c>
      <c r="AJ190">
        <v>6</v>
      </c>
      <c r="AK190">
        <f t="shared" ca="1" si="12"/>
        <v>40</v>
      </c>
      <c r="AL190">
        <f t="shared" ca="1" si="13"/>
        <v>2</v>
      </c>
      <c r="AM190" t="str">
        <f t="shared" si="14"/>
        <v>Volontaire</v>
      </c>
      <c r="AN190" s="2" t="str">
        <f t="shared" ca="1" si="15"/>
        <v>30-44 ans</v>
      </c>
      <c r="AO190" s="2" t="str">
        <f t="shared" si="16"/>
        <v>PIP</v>
      </c>
      <c r="AP190" s="2" t="str">
        <f t="shared" si="17"/>
        <v>FAIBLE</v>
      </c>
    </row>
    <row r="191" spans="1:42">
      <c r="A191" s="2" t="s">
        <v>797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s="2" t="s">
        <v>42</v>
      </c>
      <c r="N191" s="2" t="s">
        <v>16</v>
      </c>
      <c r="O191">
        <v>1450</v>
      </c>
      <c r="P191" s="1">
        <v>33833</v>
      </c>
      <c r="Q191" s="2" t="s">
        <v>17</v>
      </c>
      <c r="R191" s="2" t="s">
        <v>31</v>
      </c>
      <c r="S191" s="2" t="s">
        <v>19</v>
      </c>
      <c r="T191" s="2" t="s">
        <v>20</v>
      </c>
      <c r="U191" s="2" t="s">
        <v>21</v>
      </c>
      <c r="V191" s="1">
        <v>40735</v>
      </c>
      <c r="W191" s="1"/>
      <c r="X191" s="2" t="s">
        <v>22</v>
      </c>
      <c r="Y191" s="2" t="s">
        <v>23</v>
      </c>
      <c r="Z191" s="2" t="s">
        <v>24</v>
      </c>
      <c r="AA191" s="2" t="s">
        <v>81</v>
      </c>
      <c r="AB191">
        <v>14</v>
      </c>
      <c r="AC191" s="2" t="s">
        <v>26</v>
      </c>
      <c r="AD191" s="2" t="s">
        <v>39</v>
      </c>
      <c r="AE191" s="2" t="s">
        <v>207</v>
      </c>
      <c r="AF191">
        <v>3</v>
      </c>
      <c r="AG191">
        <v>0</v>
      </c>
      <c r="AH191">
        <v>43678</v>
      </c>
      <c r="AI191">
        <v>0</v>
      </c>
      <c r="AJ191">
        <v>14</v>
      </c>
      <c r="AK191">
        <f t="shared" ca="1" si="12"/>
        <v>33</v>
      </c>
      <c r="AL191">
        <f t="shared" ca="1" si="13"/>
        <v>14</v>
      </c>
      <c r="AM191" t="str">
        <f t="shared" si="14"/>
        <v>Actif</v>
      </c>
      <c r="AN191" s="2" t="str">
        <f t="shared" ca="1" si="15"/>
        <v>30-44 ans</v>
      </c>
      <c r="AO191" s="2" t="str">
        <f t="shared" si="16"/>
        <v>Fully Meets</v>
      </c>
      <c r="AP191" s="2" t="str">
        <f t="shared" si="17"/>
        <v>SURVEILLER</v>
      </c>
    </row>
    <row r="192" spans="1:42">
      <c r="A192" s="2" t="s">
        <v>798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s="2" t="s">
        <v>432</v>
      </c>
      <c r="N192" s="2" t="s">
        <v>16</v>
      </c>
      <c r="O192">
        <v>2134</v>
      </c>
      <c r="P192" s="1">
        <v>31542</v>
      </c>
      <c r="Q192" s="2" t="s">
        <v>17</v>
      </c>
      <c r="R192" s="2" t="s">
        <v>31</v>
      </c>
      <c r="S192" s="2" t="s">
        <v>106</v>
      </c>
      <c r="T192" s="2" t="s">
        <v>79</v>
      </c>
      <c r="U192" s="2" t="s">
        <v>71</v>
      </c>
      <c r="V192" s="1">
        <v>40954</v>
      </c>
      <c r="W192" s="1"/>
      <c r="X192" s="2" t="s">
        <v>22</v>
      </c>
      <c r="Y192" s="2" t="s">
        <v>23</v>
      </c>
      <c r="Z192" s="2" t="s">
        <v>36</v>
      </c>
      <c r="AA192" s="2" t="s">
        <v>163</v>
      </c>
      <c r="AB192">
        <v>5</v>
      </c>
      <c r="AC192" s="2" t="s">
        <v>73</v>
      </c>
      <c r="AD192" s="2" t="s">
        <v>118</v>
      </c>
      <c r="AE192" s="2" t="s">
        <v>434</v>
      </c>
      <c r="AF192">
        <v>3</v>
      </c>
      <c r="AG192">
        <v>6</v>
      </c>
      <c r="AH192" t="s">
        <v>166</v>
      </c>
      <c r="AI192">
        <v>4</v>
      </c>
      <c r="AJ192">
        <v>13</v>
      </c>
      <c r="AK192">
        <f t="shared" ca="1" si="12"/>
        <v>39</v>
      </c>
      <c r="AL192">
        <f t="shared" ca="1" si="13"/>
        <v>14</v>
      </c>
      <c r="AM192" t="str">
        <f t="shared" si="14"/>
        <v>Actif</v>
      </c>
      <c r="AN192" s="2" t="str">
        <f t="shared" ca="1" si="15"/>
        <v>30-44 ans</v>
      </c>
      <c r="AO192" s="2" t="str">
        <f t="shared" si="16"/>
        <v>Needs Improvement</v>
      </c>
      <c r="AP192" s="2" t="str">
        <f t="shared" si="17"/>
        <v>SURVEILLER</v>
      </c>
    </row>
    <row r="193" spans="1:42">
      <c r="A193" s="2" t="s">
        <v>799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s="2" t="s">
        <v>42</v>
      </c>
      <c r="N193" s="2" t="s">
        <v>16</v>
      </c>
      <c r="O193">
        <v>2126</v>
      </c>
      <c r="P193" s="1">
        <v>25682</v>
      </c>
      <c r="Q193" s="2" t="s">
        <v>44</v>
      </c>
      <c r="R193" s="2" t="s">
        <v>18</v>
      </c>
      <c r="S193" s="2" t="s">
        <v>19</v>
      </c>
      <c r="T193" s="2" t="s">
        <v>20</v>
      </c>
      <c r="U193" s="2" t="s">
        <v>71</v>
      </c>
      <c r="V193" s="1">
        <v>41407</v>
      </c>
      <c r="W193" s="1"/>
      <c r="X193" s="2" t="s">
        <v>22</v>
      </c>
      <c r="Y193" s="2" t="s">
        <v>23</v>
      </c>
      <c r="Z193" s="2" t="s">
        <v>24</v>
      </c>
      <c r="AA193" s="2" t="s">
        <v>47</v>
      </c>
      <c r="AB193">
        <v>20</v>
      </c>
      <c r="AC193" s="2" t="s">
        <v>38</v>
      </c>
      <c r="AD193" s="2" t="s">
        <v>27</v>
      </c>
      <c r="AE193" s="2" t="s">
        <v>192</v>
      </c>
      <c r="AF193">
        <v>3</v>
      </c>
      <c r="AG193">
        <v>0</v>
      </c>
      <c r="AH193" t="s">
        <v>104</v>
      </c>
      <c r="AI193">
        <v>0</v>
      </c>
      <c r="AJ193">
        <v>1</v>
      </c>
      <c r="AK193">
        <f t="shared" ca="1" si="12"/>
        <v>55</v>
      </c>
      <c r="AL193">
        <f t="shared" ca="1" si="13"/>
        <v>12</v>
      </c>
      <c r="AM193" t="str">
        <f t="shared" si="14"/>
        <v>Actif</v>
      </c>
      <c r="AN193" s="2" t="str">
        <f t="shared" ca="1" si="15"/>
        <v>45-59 ans</v>
      </c>
      <c r="AO193" s="2" t="str">
        <f t="shared" si="16"/>
        <v>Exceeds</v>
      </c>
      <c r="AP193" s="2" t="str">
        <f t="shared" si="17"/>
        <v>FAIBLE</v>
      </c>
    </row>
    <row r="194" spans="1:42">
      <c r="A194" s="2" t="s">
        <v>800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s="2" t="s">
        <v>42</v>
      </c>
      <c r="N194" s="2" t="s">
        <v>16</v>
      </c>
      <c r="O194">
        <v>2127</v>
      </c>
      <c r="P194" s="1">
        <v>27831</v>
      </c>
      <c r="Q194" s="2" t="s">
        <v>17</v>
      </c>
      <c r="R194" s="2" t="s">
        <v>18</v>
      </c>
      <c r="S194" s="2" t="s">
        <v>19</v>
      </c>
      <c r="T194" s="2" t="s">
        <v>20</v>
      </c>
      <c r="U194" s="2" t="s">
        <v>71</v>
      </c>
      <c r="V194" s="1">
        <v>41153</v>
      </c>
      <c r="W194" s="1"/>
      <c r="X194" s="2" t="s">
        <v>22</v>
      </c>
      <c r="Y194" s="2" t="s">
        <v>23</v>
      </c>
      <c r="Z194" s="2" t="s">
        <v>24</v>
      </c>
      <c r="AA194" s="2" t="s">
        <v>93</v>
      </c>
      <c r="AB194">
        <v>18</v>
      </c>
      <c r="AC194" s="2" t="s">
        <v>73</v>
      </c>
      <c r="AD194" s="2" t="s">
        <v>39</v>
      </c>
      <c r="AE194" s="2" t="s">
        <v>199</v>
      </c>
      <c r="AF194">
        <v>4</v>
      </c>
      <c r="AG194">
        <v>0</v>
      </c>
      <c r="AH194" t="s">
        <v>226</v>
      </c>
      <c r="AI194">
        <v>0</v>
      </c>
      <c r="AJ194">
        <v>12</v>
      </c>
      <c r="AK194">
        <f t="shared" ref="AK194:AK257" ca="1" si="18">DATEDIF(P194, TODAY(), "Y")</f>
        <v>50</v>
      </c>
      <c r="AL194">
        <f t="shared" ref="AL194:AL257" ca="1" si="19">INT((IF(K194=0, TODAY(), W194) - V194) / 365.25)</f>
        <v>13</v>
      </c>
      <c r="AM194" t="str">
        <f t="shared" ref="AM194:AM257" si="20">IF(K194=0, "Actif", IF(OR(X194="Another position", X194="more money", X194="unhappy", X194="career change", X194="return to school", X194="relocation out of area", X194="medical issues", X194="military", X194="retiring"), "Volontaire", "Involontaire"))</f>
        <v>Actif</v>
      </c>
      <c r="AN194" s="2" t="str">
        <f t="shared" ref="AN194:AN257" ca="1" si="21">IF(AK194&lt;30, "Moins de 30", IF(AK194&lt;45, "30-44 ans", IF(AK194&lt;60, "45-59 ans", "60 ans et plus")))</f>
        <v>45-59 ans</v>
      </c>
      <c r="AO194" s="2" t="str">
        <f t="shared" ref="AO194:AO257" si="22">IF(H194=1, "PIP", IF(H194=2, "Needs Improvement", IF(H194=3, "Fully Meets", IF(H194=4, "Exceeds", "Non défini"))))</f>
        <v>Fully Meets</v>
      </c>
      <c r="AP194" s="2" t="str">
        <f t="shared" ref="AP194:AP257" si="23">IF(AND(AE194&lt;3, AF194&lt;3, AJ194&gt;15), "CRITIQUE", IF(OR(AE194&lt;3, AJ194&gt;10), "SURVEILLER", "FAIBLE"))</f>
        <v>SURVEILLER</v>
      </c>
    </row>
    <row r="195" spans="1:42">
      <c r="A195" s="2" t="s">
        <v>801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s="2" t="s">
        <v>281</v>
      </c>
      <c r="N195" s="2" t="s">
        <v>16</v>
      </c>
      <c r="O195">
        <v>2048</v>
      </c>
      <c r="P195" s="1">
        <v>28949</v>
      </c>
      <c r="Q195" s="2" t="s">
        <v>44</v>
      </c>
      <c r="R195" s="2" t="s">
        <v>31</v>
      </c>
      <c r="S195" s="2" t="s">
        <v>19</v>
      </c>
      <c r="T195" s="2" t="s">
        <v>20</v>
      </c>
      <c r="U195" s="2" t="s">
        <v>21</v>
      </c>
      <c r="V195" s="1">
        <v>42051</v>
      </c>
      <c r="W195" s="1"/>
      <c r="X195" s="2" t="s">
        <v>22</v>
      </c>
      <c r="Y195" s="2" t="s">
        <v>23</v>
      </c>
      <c r="Z195" s="2" t="s">
        <v>36</v>
      </c>
      <c r="AA195" s="2" t="s">
        <v>77</v>
      </c>
      <c r="AB195">
        <v>7</v>
      </c>
      <c r="AC195" s="2" t="s">
        <v>117</v>
      </c>
      <c r="AD195" s="2" t="s">
        <v>39</v>
      </c>
      <c r="AE195" s="2" t="s">
        <v>437</v>
      </c>
      <c r="AF195">
        <v>3</v>
      </c>
      <c r="AG195">
        <v>6</v>
      </c>
      <c r="AH195">
        <v>43771</v>
      </c>
      <c r="AI195">
        <v>0</v>
      </c>
      <c r="AJ195">
        <v>6</v>
      </c>
      <c r="AK195">
        <f t="shared" ca="1" si="18"/>
        <v>47</v>
      </c>
      <c r="AL195">
        <f t="shared" ca="1" si="19"/>
        <v>11</v>
      </c>
      <c r="AM195" t="str">
        <f t="shared" si="20"/>
        <v>Actif</v>
      </c>
      <c r="AN195" s="2" t="str">
        <f t="shared" ca="1" si="21"/>
        <v>45-59 ans</v>
      </c>
      <c r="AO195" s="2" t="str">
        <f t="shared" si="22"/>
        <v>Fully Meets</v>
      </c>
      <c r="AP195" s="2" t="str">
        <f t="shared" si="23"/>
        <v>FAIBLE</v>
      </c>
    </row>
    <row r="196" spans="1:42">
      <c r="A196" s="2" t="s">
        <v>802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s="2" t="s">
        <v>15</v>
      </c>
      <c r="N196" s="2" t="s">
        <v>16</v>
      </c>
      <c r="O196">
        <v>2453</v>
      </c>
      <c r="P196" s="1">
        <v>30870</v>
      </c>
      <c r="Q196" s="2" t="s">
        <v>44</v>
      </c>
      <c r="R196" s="2" t="s">
        <v>53</v>
      </c>
      <c r="S196" s="2" t="s">
        <v>19</v>
      </c>
      <c r="T196" s="2" t="s">
        <v>20</v>
      </c>
      <c r="U196" s="2" t="s">
        <v>21</v>
      </c>
      <c r="V196" s="1">
        <v>41278</v>
      </c>
      <c r="W196" s="1"/>
      <c r="X196" s="2" t="s">
        <v>22</v>
      </c>
      <c r="Y196" s="2" t="s">
        <v>23</v>
      </c>
      <c r="Z196" s="2" t="s">
        <v>24</v>
      </c>
      <c r="AA196" s="2" t="s">
        <v>51</v>
      </c>
      <c r="AB196">
        <v>16</v>
      </c>
      <c r="AC196" s="2" t="s">
        <v>26</v>
      </c>
      <c r="AD196" s="2" t="s">
        <v>39</v>
      </c>
      <c r="AE196" s="2" t="s">
        <v>103</v>
      </c>
      <c r="AF196">
        <v>4</v>
      </c>
      <c r="AG196">
        <v>0</v>
      </c>
      <c r="AH196" t="s">
        <v>29</v>
      </c>
      <c r="AI196">
        <v>0</v>
      </c>
      <c r="AJ196">
        <v>18</v>
      </c>
      <c r="AK196">
        <f t="shared" ca="1" si="18"/>
        <v>41</v>
      </c>
      <c r="AL196">
        <f t="shared" ca="1" si="19"/>
        <v>13</v>
      </c>
      <c r="AM196" t="str">
        <f t="shared" si="20"/>
        <v>Actif</v>
      </c>
      <c r="AN196" s="2" t="str">
        <f t="shared" ca="1" si="21"/>
        <v>30-44 ans</v>
      </c>
      <c r="AO196" s="2" t="str">
        <f t="shared" si="22"/>
        <v>Fully Meets</v>
      </c>
      <c r="AP196" s="2" t="str">
        <f t="shared" si="23"/>
        <v>SURVEILLER</v>
      </c>
    </row>
    <row r="197" spans="1:42">
      <c r="A197" s="2" t="s">
        <v>803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s="2" t="s">
        <v>42</v>
      </c>
      <c r="N197" s="2" t="s">
        <v>16</v>
      </c>
      <c r="O197">
        <v>1460</v>
      </c>
      <c r="P197" s="1">
        <v>27041</v>
      </c>
      <c r="Q197" s="2" t="s">
        <v>17</v>
      </c>
      <c r="R197" s="2" t="s">
        <v>149</v>
      </c>
      <c r="S197" s="2" t="s">
        <v>19</v>
      </c>
      <c r="T197" s="2" t="s">
        <v>20</v>
      </c>
      <c r="U197" s="2" t="s">
        <v>71</v>
      </c>
      <c r="V197" s="1">
        <v>41407</v>
      </c>
      <c r="W197" s="1"/>
      <c r="X197" s="2" t="s">
        <v>22</v>
      </c>
      <c r="Y197" s="2" t="s">
        <v>23</v>
      </c>
      <c r="Z197" s="2" t="s">
        <v>24</v>
      </c>
      <c r="AA197" s="2" t="s">
        <v>25</v>
      </c>
      <c r="AB197">
        <v>22</v>
      </c>
      <c r="AC197" s="2" t="s">
        <v>26</v>
      </c>
      <c r="AD197" s="2" t="s">
        <v>39</v>
      </c>
      <c r="AE197" s="2" t="s">
        <v>438</v>
      </c>
      <c r="AF197">
        <v>5</v>
      </c>
      <c r="AG197">
        <v>0</v>
      </c>
      <c r="AH197" t="s">
        <v>213</v>
      </c>
      <c r="AI197">
        <v>0</v>
      </c>
      <c r="AJ197">
        <v>11</v>
      </c>
      <c r="AK197">
        <f t="shared" ca="1" si="18"/>
        <v>52</v>
      </c>
      <c r="AL197">
        <f t="shared" ca="1" si="19"/>
        <v>12</v>
      </c>
      <c r="AM197" t="str">
        <f t="shared" si="20"/>
        <v>Actif</v>
      </c>
      <c r="AN197" s="2" t="str">
        <f t="shared" ca="1" si="21"/>
        <v>45-59 ans</v>
      </c>
      <c r="AO197" s="2" t="str">
        <f t="shared" si="22"/>
        <v>Fully Meets</v>
      </c>
      <c r="AP197" s="2" t="str">
        <f t="shared" si="23"/>
        <v>SURVEILLER</v>
      </c>
    </row>
    <row r="198" spans="1:42">
      <c r="A198" s="2" t="s">
        <v>804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s="2" t="s">
        <v>15</v>
      </c>
      <c r="N198" s="2" t="s">
        <v>16</v>
      </c>
      <c r="O198">
        <v>1550</v>
      </c>
      <c r="P198" s="1">
        <v>29329</v>
      </c>
      <c r="Q198" s="2" t="s">
        <v>17</v>
      </c>
      <c r="R198" s="2" t="s">
        <v>18</v>
      </c>
      <c r="S198" s="2" t="s">
        <v>19</v>
      </c>
      <c r="T198" s="2" t="s">
        <v>20</v>
      </c>
      <c r="U198" s="2" t="s">
        <v>111</v>
      </c>
      <c r="V198" s="1">
        <v>41493</v>
      </c>
      <c r="W198" s="1"/>
      <c r="X198" s="2" t="s">
        <v>22</v>
      </c>
      <c r="Y198" s="2" t="s">
        <v>23</v>
      </c>
      <c r="Z198" s="2" t="s">
        <v>24</v>
      </c>
      <c r="AA198" s="2" t="s">
        <v>47</v>
      </c>
      <c r="AB198">
        <v>20</v>
      </c>
      <c r="AC198" s="2" t="s">
        <v>26</v>
      </c>
      <c r="AD198" s="2" t="s">
        <v>39</v>
      </c>
      <c r="AE198" s="2" t="s">
        <v>199</v>
      </c>
      <c r="AF198">
        <v>4</v>
      </c>
      <c r="AG198">
        <v>0</v>
      </c>
      <c r="AH198" t="s">
        <v>211</v>
      </c>
      <c r="AI198">
        <v>0</v>
      </c>
      <c r="AJ198">
        <v>13</v>
      </c>
      <c r="AK198">
        <f t="shared" ca="1" si="18"/>
        <v>45</v>
      </c>
      <c r="AL198">
        <f t="shared" ca="1" si="19"/>
        <v>12</v>
      </c>
      <c r="AM198" t="str">
        <f t="shared" si="20"/>
        <v>Actif</v>
      </c>
      <c r="AN198" s="2" t="str">
        <f t="shared" ca="1" si="21"/>
        <v>45-59 ans</v>
      </c>
      <c r="AO198" s="2" t="str">
        <f t="shared" si="22"/>
        <v>Fully Meets</v>
      </c>
      <c r="AP198" s="2" t="str">
        <f t="shared" si="23"/>
        <v>SURVEILLER</v>
      </c>
    </row>
    <row r="199" spans="1:42">
      <c r="A199" s="2" t="s">
        <v>805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s="2" t="s">
        <v>393</v>
      </c>
      <c r="N199" s="2" t="s">
        <v>16</v>
      </c>
      <c r="O199">
        <v>2056</v>
      </c>
      <c r="P199" s="1">
        <v>25683</v>
      </c>
      <c r="Q199" s="2" t="s">
        <v>17</v>
      </c>
      <c r="R199" s="2" t="s">
        <v>18</v>
      </c>
      <c r="S199" s="2" t="s">
        <v>19</v>
      </c>
      <c r="T199" s="2" t="s">
        <v>20</v>
      </c>
      <c r="U199" s="2" t="s">
        <v>111</v>
      </c>
      <c r="V199" s="1">
        <v>43010</v>
      </c>
      <c r="W199" s="1"/>
      <c r="X199" s="2" t="s">
        <v>22</v>
      </c>
      <c r="Y199" s="2" t="s">
        <v>23</v>
      </c>
      <c r="Z199" s="2" t="s">
        <v>36</v>
      </c>
      <c r="AA199" s="2" t="s">
        <v>238</v>
      </c>
      <c r="AB199">
        <v>13</v>
      </c>
      <c r="AC199" s="2" t="s">
        <v>38</v>
      </c>
      <c r="AD199" s="2" t="s">
        <v>39</v>
      </c>
      <c r="AE199" s="2" t="s">
        <v>57</v>
      </c>
      <c r="AF199">
        <v>3</v>
      </c>
      <c r="AG199">
        <v>6</v>
      </c>
      <c r="AH199" t="s">
        <v>70</v>
      </c>
      <c r="AI199">
        <v>0</v>
      </c>
      <c r="AJ199">
        <v>17</v>
      </c>
      <c r="AK199">
        <f t="shared" ca="1" si="18"/>
        <v>55</v>
      </c>
      <c r="AL199">
        <f t="shared" ca="1" si="19"/>
        <v>8</v>
      </c>
      <c r="AM199" t="str">
        <f t="shared" si="20"/>
        <v>Actif</v>
      </c>
      <c r="AN199" s="2" t="str">
        <f t="shared" ca="1" si="21"/>
        <v>45-59 ans</v>
      </c>
      <c r="AO199" s="2" t="str">
        <f t="shared" si="22"/>
        <v>Fully Meets</v>
      </c>
      <c r="AP199" s="2" t="str">
        <f t="shared" si="23"/>
        <v>SURVEILLER</v>
      </c>
    </row>
    <row r="200" spans="1:42">
      <c r="A200" s="2" t="s">
        <v>806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s="2" t="s">
        <v>15</v>
      </c>
      <c r="N200" s="2" t="s">
        <v>16</v>
      </c>
      <c r="O200">
        <v>2110</v>
      </c>
      <c r="P200" s="1">
        <v>32544</v>
      </c>
      <c r="Q200" s="2" t="s">
        <v>17</v>
      </c>
      <c r="R200" s="2" t="s">
        <v>18</v>
      </c>
      <c r="S200" s="2" t="s">
        <v>19</v>
      </c>
      <c r="T200" s="2" t="s">
        <v>20</v>
      </c>
      <c r="U200" s="2" t="s">
        <v>71</v>
      </c>
      <c r="V200" s="1">
        <v>40812</v>
      </c>
      <c r="W200" s="1">
        <v>41733</v>
      </c>
      <c r="X200" s="2" t="s">
        <v>54</v>
      </c>
      <c r="Y200" s="2" t="s">
        <v>35</v>
      </c>
      <c r="Z200" s="2" t="s">
        <v>24</v>
      </c>
      <c r="AA200" s="2" t="s">
        <v>55</v>
      </c>
      <c r="AB200">
        <v>39</v>
      </c>
      <c r="AC200" s="2" t="s">
        <v>73</v>
      </c>
      <c r="AD200" s="2" t="s">
        <v>39</v>
      </c>
      <c r="AE200" s="2" t="s">
        <v>187</v>
      </c>
      <c r="AF200">
        <v>3</v>
      </c>
      <c r="AG200">
        <v>0</v>
      </c>
      <c r="AH200">
        <v>41308</v>
      </c>
      <c r="AI200">
        <v>0</v>
      </c>
      <c r="AJ200">
        <v>19</v>
      </c>
      <c r="AK200">
        <f t="shared" ca="1" si="18"/>
        <v>37</v>
      </c>
      <c r="AL200">
        <f t="shared" ca="1" si="19"/>
        <v>2</v>
      </c>
      <c r="AM200" t="str">
        <f t="shared" si="20"/>
        <v>Volontaire</v>
      </c>
      <c r="AN200" s="2" t="str">
        <f t="shared" ca="1" si="21"/>
        <v>30-44 ans</v>
      </c>
      <c r="AO200" s="2" t="str">
        <f t="shared" si="22"/>
        <v>Fully Meets</v>
      </c>
      <c r="AP200" s="2" t="str">
        <f t="shared" si="23"/>
        <v>SURVEILLER</v>
      </c>
    </row>
    <row r="201" spans="1:42">
      <c r="A201" s="2" t="s">
        <v>807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s="2" t="s">
        <v>15</v>
      </c>
      <c r="N201" s="2" t="s">
        <v>16</v>
      </c>
      <c r="O201">
        <v>2421</v>
      </c>
      <c r="P201" s="1">
        <v>30403</v>
      </c>
      <c r="Q201" s="2" t="s">
        <v>17</v>
      </c>
      <c r="R201" s="2" t="s">
        <v>31</v>
      </c>
      <c r="S201" s="2" t="s">
        <v>19</v>
      </c>
      <c r="T201" s="2" t="s">
        <v>20</v>
      </c>
      <c r="U201" s="2" t="s">
        <v>21</v>
      </c>
      <c r="V201" s="1">
        <v>41278</v>
      </c>
      <c r="W201" s="1">
        <v>42515</v>
      </c>
      <c r="X201" s="2" t="s">
        <v>233</v>
      </c>
      <c r="Y201" s="2" t="s">
        <v>35</v>
      </c>
      <c r="Z201" s="2" t="s">
        <v>24</v>
      </c>
      <c r="AA201" s="2" t="s">
        <v>59</v>
      </c>
      <c r="AB201">
        <v>11</v>
      </c>
      <c r="AC201" s="2" t="s">
        <v>69</v>
      </c>
      <c r="AD201" s="2" t="s">
        <v>39</v>
      </c>
      <c r="AE201" s="2" t="s">
        <v>405</v>
      </c>
      <c r="AF201">
        <v>3</v>
      </c>
      <c r="AG201">
        <v>0</v>
      </c>
      <c r="AH201">
        <v>42524</v>
      </c>
      <c r="AI201">
        <v>0</v>
      </c>
      <c r="AJ201">
        <v>10</v>
      </c>
      <c r="AK201">
        <f t="shared" ca="1" si="18"/>
        <v>43</v>
      </c>
      <c r="AL201">
        <f t="shared" ca="1" si="19"/>
        <v>3</v>
      </c>
      <c r="AM201" t="str">
        <f t="shared" si="20"/>
        <v>Volontaire</v>
      </c>
      <c r="AN201" s="2" t="str">
        <f t="shared" ca="1" si="21"/>
        <v>30-44 ans</v>
      </c>
      <c r="AO201" s="2" t="str">
        <f t="shared" si="22"/>
        <v>Fully Meets</v>
      </c>
      <c r="AP201" s="2" t="str">
        <f t="shared" si="23"/>
        <v>FAIBLE</v>
      </c>
    </row>
    <row r="202" spans="1:42">
      <c r="A202" s="2" t="s">
        <v>808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s="2" t="s">
        <v>15</v>
      </c>
      <c r="N202" s="2" t="s">
        <v>16</v>
      </c>
      <c r="O202">
        <v>2136</v>
      </c>
      <c r="P202" s="1">
        <v>28341</v>
      </c>
      <c r="Q202" s="2" t="s">
        <v>17</v>
      </c>
      <c r="R202" s="2" t="s">
        <v>31</v>
      </c>
      <c r="S202" s="2" t="s">
        <v>19</v>
      </c>
      <c r="T202" s="2" t="s">
        <v>20</v>
      </c>
      <c r="U202" s="2" t="s">
        <v>21</v>
      </c>
      <c r="V202" s="1">
        <v>41978</v>
      </c>
      <c r="W202" s="1"/>
      <c r="X202" s="2" t="s">
        <v>22</v>
      </c>
      <c r="Y202" s="2" t="s">
        <v>23</v>
      </c>
      <c r="Z202" s="2" t="s">
        <v>24</v>
      </c>
      <c r="AA202" s="2" t="s">
        <v>68</v>
      </c>
      <c r="AB202">
        <v>19</v>
      </c>
      <c r="AC202" s="2" t="s">
        <v>26</v>
      </c>
      <c r="AD202" s="2" t="s">
        <v>39</v>
      </c>
      <c r="AE202" s="2" t="s">
        <v>57</v>
      </c>
      <c r="AF202">
        <v>5</v>
      </c>
      <c r="AG202">
        <v>0</v>
      </c>
      <c r="AH202" t="s">
        <v>78</v>
      </c>
      <c r="AI202">
        <v>0</v>
      </c>
      <c r="AJ202">
        <v>11</v>
      </c>
      <c r="AK202">
        <f t="shared" ca="1" si="18"/>
        <v>48</v>
      </c>
      <c r="AL202">
        <f t="shared" ca="1" si="19"/>
        <v>11</v>
      </c>
      <c r="AM202" t="str">
        <f t="shared" si="20"/>
        <v>Actif</v>
      </c>
      <c r="AN202" s="2" t="str">
        <f t="shared" ca="1" si="21"/>
        <v>45-59 ans</v>
      </c>
      <c r="AO202" s="2" t="str">
        <f t="shared" si="22"/>
        <v>Fully Meets</v>
      </c>
      <c r="AP202" s="2" t="str">
        <f t="shared" si="23"/>
        <v>SURVEILLER</v>
      </c>
    </row>
    <row r="203" spans="1:42">
      <c r="A203" s="2" t="s">
        <v>809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s="2" t="s">
        <v>15</v>
      </c>
      <c r="N203" s="2" t="s">
        <v>16</v>
      </c>
      <c r="O203">
        <v>1810</v>
      </c>
      <c r="P203" s="1">
        <v>24537</v>
      </c>
      <c r="Q203" s="2" t="s">
        <v>44</v>
      </c>
      <c r="R203" s="2" t="s">
        <v>149</v>
      </c>
      <c r="S203" s="2" t="s">
        <v>19</v>
      </c>
      <c r="T203" s="2" t="s">
        <v>20</v>
      </c>
      <c r="U203" s="2" t="s">
        <v>71</v>
      </c>
      <c r="V203" s="1">
        <v>41278</v>
      </c>
      <c r="W203" s="1"/>
      <c r="X203" s="2" t="s">
        <v>22</v>
      </c>
      <c r="Y203" s="2" t="s">
        <v>23</v>
      </c>
      <c r="Z203" s="2" t="s">
        <v>24</v>
      </c>
      <c r="AA203" s="2" t="s">
        <v>72</v>
      </c>
      <c r="AB203">
        <v>12</v>
      </c>
      <c r="AC203" s="2" t="s">
        <v>73</v>
      </c>
      <c r="AD203" s="2" t="s">
        <v>27</v>
      </c>
      <c r="AE203" s="2" t="s">
        <v>275</v>
      </c>
      <c r="AF203">
        <v>3</v>
      </c>
      <c r="AG203">
        <v>0</v>
      </c>
      <c r="AH203" t="s">
        <v>264</v>
      </c>
      <c r="AI203">
        <v>0</v>
      </c>
      <c r="AJ203">
        <v>12</v>
      </c>
      <c r="AK203">
        <f t="shared" ca="1" si="18"/>
        <v>59</v>
      </c>
      <c r="AL203">
        <f t="shared" ca="1" si="19"/>
        <v>13</v>
      </c>
      <c r="AM203" t="str">
        <f t="shared" si="20"/>
        <v>Actif</v>
      </c>
      <c r="AN203" s="2" t="str">
        <f t="shared" ca="1" si="21"/>
        <v>45-59 ans</v>
      </c>
      <c r="AO203" s="2" t="str">
        <f t="shared" si="22"/>
        <v>Exceeds</v>
      </c>
      <c r="AP203" s="2" t="str">
        <f t="shared" si="23"/>
        <v>SURVEILLER</v>
      </c>
    </row>
    <row r="204" spans="1:42">
      <c r="A204" s="2" t="s">
        <v>810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s="2" t="s">
        <v>151</v>
      </c>
      <c r="N204" s="2" t="s">
        <v>443</v>
      </c>
      <c r="O204">
        <v>30428</v>
      </c>
      <c r="P204" s="1">
        <v>32598</v>
      </c>
      <c r="Q204" s="2" t="s">
        <v>44</v>
      </c>
      <c r="R204" s="2" t="s">
        <v>18</v>
      </c>
      <c r="S204" s="2" t="s">
        <v>19</v>
      </c>
      <c r="T204" s="2" t="s">
        <v>20</v>
      </c>
      <c r="U204" s="2" t="s">
        <v>91</v>
      </c>
      <c r="V204" s="1">
        <v>41493</v>
      </c>
      <c r="W204" s="1"/>
      <c r="X204" s="2" t="s">
        <v>22</v>
      </c>
      <c r="Y204" s="2" t="s">
        <v>23</v>
      </c>
      <c r="Z204" s="2" t="s">
        <v>154</v>
      </c>
      <c r="AA204" s="2" t="s">
        <v>180</v>
      </c>
      <c r="AB204">
        <v>21</v>
      </c>
      <c r="AC204" s="2" t="s">
        <v>38</v>
      </c>
      <c r="AD204" s="2" t="s">
        <v>39</v>
      </c>
      <c r="AE204" s="2" t="s">
        <v>57</v>
      </c>
      <c r="AF204">
        <v>5</v>
      </c>
      <c r="AG204">
        <v>0</v>
      </c>
      <c r="AH204" t="s">
        <v>75</v>
      </c>
      <c r="AI204">
        <v>0</v>
      </c>
      <c r="AJ204">
        <v>2</v>
      </c>
      <c r="AK204">
        <f t="shared" ca="1" si="18"/>
        <v>37</v>
      </c>
      <c r="AL204">
        <f t="shared" ca="1" si="19"/>
        <v>12</v>
      </c>
      <c r="AM204" t="str">
        <f t="shared" si="20"/>
        <v>Actif</v>
      </c>
      <c r="AN204" s="2" t="str">
        <f t="shared" ca="1" si="21"/>
        <v>30-44 ans</v>
      </c>
      <c r="AO204" s="2" t="str">
        <f t="shared" si="22"/>
        <v>Fully Meets</v>
      </c>
      <c r="AP204" s="2" t="str">
        <f t="shared" si="23"/>
        <v>FAIBLE</v>
      </c>
    </row>
    <row r="205" spans="1:42">
      <c r="A205" s="2" t="s">
        <v>811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s="2" t="s">
        <v>15</v>
      </c>
      <c r="N205" s="2" t="s">
        <v>16</v>
      </c>
      <c r="O205">
        <v>2132</v>
      </c>
      <c r="P205" s="1">
        <v>30870</v>
      </c>
      <c r="Q205" s="2" t="s">
        <v>44</v>
      </c>
      <c r="R205" s="2" t="s">
        <v>18</v>
      </c>
      <c r="S205" s="2" t="s">
        <v>19</v>
      </c>
      <c r="T205" s="2" t="s">
        <v>20</v>
      </c>
      <c r="U205" s="2" t="s">
        <v>21</v>
      </c>
      <c r="V205" s="1">
        <v>41493</v>
      </c>
      <c r="W205" s="1"/>
      <c r="X205" s="2" t="s">
        <v>22</v>
      </c>
      <c r="Y205" s="2" t="s">
        <v>23</v>
      </c>
      <c r="Z205" s="2" t="s">
        <v>24</v>
      </c>
      <c r="AA205" s="2" t="s">
        <v>81</v>
      </c>
      <c r="AB205">
        <v>14</v>
      </c>
      <c r="AC205" s="2" t="s">
        <v>26</v>
      </c>
      <c r="AD205" s="2" t="s">
        <v>39</v>
      </c>
      <c r="AE205" s="2" t="s">
        <v>343</v>
      </c>
      <c r="AF205">
        <v>5</v>
      </c>
      <c r="AG205">
        <v>0</v>
      </c>
      <c r="AH205">
        <v>43497</v>
      </c>
      <c r="AI205">
        <v>0</v>
      </c>
      <c r="AJ205">
        <v>4</v>
      </c>
      <c r="AK205">
        <f t="shared" ca="1" si="18"/>
        <v>41</v>
      </c>
      <c r="AL205">
        <f t="shared" ca="1" si="19"/>
        <v>12</v>
      </c>
      <c r="AM205" t="str">
        <f t="shared" si="20"/>
        <v>Actif</v>
      </c>
      <c r="AN205" s="2" t="str">
        <f t="shared" ca="1" si="21"/>
        <v>30-44 ans</v>
      </c>
      <c r="AO205" s="2" t="str">
        <f t="shared" si="22"/>
        <v>Fully Meets</v>
      </c>
      <c r="AP205" s="2" t="str">
        <f t="shared" si="23"/>
        <v>FAIBLE</v>
      </c>
    </row>
    <row r="206" spans="1:42">
      <c r="A206" s="2" t="s">
        <v>812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s="2" t="s">
        <v>42</v>
      </c>
      <c r="N206" s="2" t="s">
        <v>16</v>
      </c>
      <c r="O206">
        <v>1040</v>
      </c>
      <c r="P206" s="1">
        <v>31374</v>
      </c>
      <c r="Q206" s="2" t="s">
        <v>44</v>
      </c>
      <c r="R206" s="2" t="s">
        <v>18</v>
      </c>
      <c r="S206" s="2" t="s">
        <v>19</v>
      </c>
      <c r="T206" s="2" t="s">
        <v>20</v>
      </c>
      <c r="U206" s="2" t="s">
        <v>21</v>
      </c>
      <c r="V206" s="1">
        <v>41923</v>
      </c>
      <c r="W206" s="1"/>
      <c r="X206" s="2" t="s">
        <v>22</v>
      </c>
      <c r="Y206" s="2" t="s">
        <v>23</v>
      </c>
      <c r="Z206" s="2" t="s">
        <v>24</v>
      </c>
      <c r="AA206" s="2" t="s">
        <v>51</v>
      </c>
      <c r="AB206">
        <v>16</v>
      </c>
      <c r="AC206" s="2" t="s">
        <v>38</v>
      </c>
      <c r="AD206" s="2" t="s">
        <v>39</v>
      </c>
      <c r="AE206" s="2" t="s">
        <v>401</v>
      </c>
      <c r="AF206">
        <v>5</v>
      </c>
      <c r="AG206">
        <v>0</v>
      </c>
      <c r="AH206" t="s">
        <v>300</v>
      </c>
      <c r="AI206">
        <v>0</v>
      </c>
      <c r="AJ206">
        <v>5</v>
      </c>
      <c r="AK206">
        <f t="shared" ca="1" si="18"/>
        <v>40</v>
      </c>
      <c r="AL206">
        <f t="shared" ca="1" si="19"/>
        <v>11</v>
      </c>
      <c r="AM206" t="str">
        <f t="shared" si="20"/>
        <v>Actif</v>
      </c>
      <c r="AN206" s="2" t="str">
        <f t="shared" ca="1" si="21"/>
        <v>30-44 ans</v>
      </c>
      <c r="AO206" s="2" t="str">
        <f t="shared" si="22"/>
        <v>Fully Meets</v>
      </c>
      <c r="AP206" s="2" t="str">
        <f t="shared" si="23"/>
        <v>FAIBLE</v>
      </c>
    </row>
    <row r="207" spans="1:42">
      <c r="A207" s="2" t="s">
        <v>813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s="2" t="s">
        <v>15</v>
      </c>
      <c r="N207" s="2" t="s">
        <v>16</v>
      </c>
      <c r="O207">
        <v>2152</v>
      </c>
      <c r="P207" s="1">
        <v>29494</v>
      </c>
      <c r="Q207" s="2" t="s">
        <v>44</v>
      </c>
      <c r="R207" s="2" t="s">
        <v>18</v>
      </c>
      <c r="S207" s="2" t="s">
        <v>19</v>
      </c>
      <c r="T207" s="2" t="s">
        <v>20</v>
      </c>
      <c r="U207" s="2" t="s">
        <v>91</v>
      </c>
      <c r="V207" s="1">
        <v>41729</v>
      </c>
      <c r="W207" s="1">
        <v>43105</v>
      </c>
      <c r="X207" s="2" t="s">
        <v>108</v>
      </c>
      <c r="Y207" s="2" t="s">
        <v>100</v>
      </c>
      <c r="Z207" s="2" t="s">
        <v>24</v>
      </c>
      <c r="AA207" s="2" t="s">
        <v>47</v>
      </c>
      <c r="AB207">
        <v>20</v>
      </c>
      <c r="AC207" s="2" t="s">
        <v>26</v>
      </c>
      <c r="AD207" s="2" t="s">
        <v>230</v>
      </c>
      <c r="AE207" s="2" t="s">
        <v>447</v>
      </c>
      <c r="AF207">
        <v>2</v>
      </c>
      <c r="AG207">
        <v>0</v>
      </c>
      <c r="AH207">
        <v>43346</v>
      </c>
      <c r="AI207">
        <v>6</v>
      </c>
      <c r="AJ207">
        <v>3</v>
      </c>
      <c r="AK207">
        <f t="shared" ca="1" si="18"/>
        <v>45</v>
      </c>
      <c r="AL207">
        <f t="shared" ca="1" si="19"/>
        <v>3</v>
      </c>
      <c r="AM207" t="str">
        <f t="shared" si="20"/>
        <v>Involontaire</v>
      </c>
      <c r="AN207" s="2" t="str">
        <f t="shared" ca="1" si="21"/>
        <v>45-59 ans</v>
      </c>
      <c r="AO207" s="2" t="str">
        <f t="shared" si="22"/>
        <v>PIP</v>
      </c>
      <c r="AP207" s="2" t="str">
        <f t="shared" si="23"/>
        <v>FAIBLE</v>
      </c>
    </row>
    <row r="208" spans="1:42">
      <c r="A208" s="2" t="s">
        <v>814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s="2" t="s">
        <v>42</v>
      </c>
      <c r="N208" s="2" t="s">
        <v>16</v>
      </c>
      <c r="O208">
        <v>2492</v>
      </c>
      <c r="P208" s="1">
        <v>19300</v>
      </c>
      <c r="Q208" s="2" t="s">
        <v>44</v>
      </c>
      <c r="R208" s="2" t="s">
        <v>31</v>
      </c>
      <c r="S208" s="2" t="s">
        <v>19</v>
      </c>
      <c r="T208" s="2" t="s">
        <v>20</v>
      </c>
      <c r="U208" s="2" t="s">
        <v>111</v>
      </c>
      <c r="V208" s="1">
        <v>41043</v>
      </c>
      <c r="W208" s="1">
        <v>41505</v>
      </c>
      <c r="X208" s="2" t="s">
        <v>86</v>
      </c>
      <c r="Y208" s="2" t="s">
        <v>35</v>
      </c>
      <c r="Z208" s="2" t="s">
        <v>24</v>
      </c>
      <c r="AA208" s="2" t="s">
        <v>55</v>
      </c>
      <c r="AB208">
        <v>39</v>
      </c>
      <c r="AC208" s="2" t="s">
        <v>26</v>
      </c>
      <c r="AD208" s="2" t="s">
        <v>39</v>
      </c>
      <c r="AE208" s="2" t="s">
        <v>57</v>
      </c>
      <c r="AF208">
        <v>3</v>
      </c>
      <c r="AG208">
        <v>0</v>
      </c>
      <c r="AH208">
        <v>41312</v>
      </c>
      <c r="AI208">
        <v>0</v>
      </c>
      <c r="AJ208">
        <v>17</v>
      </c>
      <c r="AK208">
        <f t="shared" ca="1" si="18"/>
        <v>73</v>
      </c>
      <c r="AL208">
        <f t="shared" ca="1" si="19"/>
        <v>1</v>
      </c>
      <c r="AM208" t="str">
        <f t="shared" si="20"/>
        <v>Volontaire</v>
      </c>
      <c r="AN208" s="2" t="str">
        <f t="shared" ca="1" si="21"/>
        <v>60 ans et plus</v>
      </c>
      <c r="AO208" s="2" t="str">
        <f t="shared" si="22"/>
        <v>Fully Meets</v>
      </c>
      <c r="AP208" s="2" t="str">
        <f t="shared" si="23"/>
        <v>SURVEILLER</v>
      </c>
    </row>
    <row r="209" spans="1:42">
      <c r="A209" s="2" t="s">
        <v>815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s="2" t="s">
        <v>151</v>
      </c>
      <c r="N209" s="2" t="s">
        <v>448</v>
      </c>
      <c r="O209">
        <v>33174</v>
      </c>
      <c r="P209" s="1">
        <v>33182</v>
      </c>
      <c r="Q209" s="2" t="s">
        <v>44</v>
      </c>
      <c r="R209" s="2" t="s">
        <v>18</v>
      </c>
      <c r="S209" s="2" t="s">
        <v>19</v>
      </c>
      <c r="T209" s="2" t="s">
        <v>79</v>
      </c>
      <c r="U209" s="2" t="s">
        <v>21</v>
      </c>
      <c r="V209" s="1">
        <v>41547</v>
      </c>
      <c r="W209" s="1"/>
      <c r="X209" s="2" t="s">
        <v>22</v>
      </c>
      <c r="Y209" s="2" t="s">
        <v>23</v>
      </c>
      <c r="Z209" s="2" t="s">
        <v>154</v>
      </c>
      <c r="AA209" s="2" t="s">
        <v>180</v>
      </c>
      <c r="AB209">
        <v>21</v>
      </c>
      <c r="AC209" s="2" t="s">
        <v>38</v>
      </c>
      <c r="AD209" s="2" t="s">
        <v>39</v>
      </c>
      <c r="AE209" s="2" t="s">
        <v>89</v>
      </c>
      <c r="AF209">
        <v>3</v>
      </c>
      <c r="AG209">
        <v>0</v>
      </c>
      <c r="AH209" t="s">
        <v>75</v>
      </c>
      <c r="AI209">
        <v>0</v>
      </c>
      <c r="AJ209">
        <v>1</v>
      </c>
      <c r="AK209">
        <f t="shared" ca="1" si="18"/>
        <v>35</v>
      </c>
      <c r="AL209">
        <f t="shared" ca="1" si="19"/>
        <v>12</v>
      </c>
      <c r="AM209" t="str">
        <f t="shared" si="20"/>
        <v>Actif</v>
      </c>
      <c r="AN209" s="2" t="str">
        <f t="shared" ca="1" si="21"/>
        <v>30-44 ans</v>
      </c>
      <c r="AO209" s="2" t="str">
        <f t="shared" si="22"/>
        <v>Fully Meets</v>
      </c>
      <c r="AP209" s="2" t="str">
        <f t="shared" si="23"/>
        <v>FAIBLE</v>
      </c>
    </row>
    <row r="210" spans="1:42">
      <c r="A210" s="2" t="s">
        <v>816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s="2" t="s">
        <v>15</v>
      </c>
      <c r="N210" s="2" t="s">
        <v>16</v>
      </c>
      <c r="O210">
        <v>2478</v>
      </c>
      <c r="P210" s="1">
        <v>28076</v>
      </c>
      <c r="Q210" s="2" t="s">
        <v>17</v>
      </c>
      <c r="R210" s="2" t="s">
        <v>31</v>
      </c>
      <c r="S210" s="2" t="s">
        <v>19</v>
      </c>
      <c r="T210" s="2" t="s">
        <v>20</v>
      </c>
      <c r="U210" s="2" t="s">
        <v>21</v>
      </c>
      <c r="V210" s="1">
        <v>41547</v>
      </c>
      <c r="W210" s="1"/>
      <c r="X210" s="2" t="s">
        <v>22</v>
      </c>
      <c r="Y210" s="2" t="s">
        <v>23</v>
      </c>
      <c r="Z210" s="2" t="s">
        <v>24</v>
      </c>
      <c r="AA210" s="2" t="s">
        <v>93</v>
      </c>
      <c r="AB210">
        <v>18</v>
      </c>
      <c r="AC210" s="2" t="s">
        <v>26</v>
      </c>
      <c r="AD210" s="2" t="s">
        <v>27</v>
      </c>
      <c r="AE210" s="2" t="s">
        <v>57</v>
      </c>
      <c r="AF210">
        <v>3</v>
      </c>
      <c r="AG210">
        <v>0</v>
      </c>
      <c r="AH210">
        <v>43648</v>
      </c>
      <c r="AI210">
        <v>0</v>
      </c>
      <c r="AJ210">
        <v>13</v>
      </c>
      <c r="AK210">
        <f t="shared" ca="1" si="18"/>
        <v>49</v>
      </c>
      <c r="AL210">
        <f t="shared" ca="1" si="19"/>
        <v>12</v>
      </c>
      <c r="AM210" t="str">
        <f t="shared" si="20"/>
        <v>Actif</v>
      </c>
      <c r="AN210" s="2" t="str">
        <f t="shared" ca="1" si="21"/>
        <v>45-59 ans</v>
      </c>
      <c r="AO210" s="2" t="str">
        <f t="shared" si="22"/>
        <v>Exceeds</v>
      </c>
      <c r="AP210" s="2" t="str">
        <f t="shared" si="23"/>
        <v>SURVEILLER</v>
      </c>
    </row>
    <row r="211" spans="1:42">
      <c r="A211" s="2" t="s">
        <v>817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s="2" t="s">
        <v>15</v>
      </c>
      <c r="N211" s="2" t="s">
        <v>16</v>
      </c>
      <c r="O211">
        <v>1760</v>
      </c>
      <c r="P211" s="1">
        <v>29183</v>
      </c>
      <c r="Q211" s="2" t="s">
        <v>17</v>
      </c>
      <c r="R211" s="2" t="s">
        <v>18</v>
      </c>
      <c r="S211" s="2" t="s">
        <v>19</v>
      </c>
      <c r="T211" s="2" t="s">
        <v>20</v>
      </c>
      <c r="U211" s="2" t="s">
        <v>71</v>
      </c>
      <c r="V211" s="1">
        <v>41687</v>
      </c>
      <c r="W211" s="1"/>
      <c r="X211" s="2" t="s">
        <v>22</v>
      </c>
      <c r="Y211" s="2" t="s">
        <v>23</v>
      </c>
      <c r="Z211" s="2" t="s">
        <v>24</v>
      </c>
      <c r="AA211" s="2" t="s">
        <v>25</v>
      </c>
      <c r="AB211">
        <v>22</v>
      </c>
      <c r="AC211" s="2" t="s">
        <v>26</v>
      </c>
      <c r="AD211" s="2" t="s">
        <v>118</v>
      </c>
      <c r="AE211" s="2" t="s">
        <v>450</v>
      </c>
      <c r="AF211">
        <v>3</v>
      </c>
      <c r="AG211">
        <v>0</v>
      </c>
      <c r="AH211">
        <v>43557</v>
      </c>
      <c r="AI211">
        <v>4</v>
      </c>
      <c r="AJ211">
        <v>6</v>
      </c>
      <c r="AK211">
        <f t="shared" ca="1" si="18"/>
        <v>46</v>
      </c>
      <c r="AL211">
        <f t="shared" ca="1" si="19"/>
        <v>12</v>
      </c>
      <c r="AM211" t="str">
        <f t="shared" si="20"/>
        <v>Actif</v>
      </c>
      <c r="AN211" s="2" t="str">
        <f t="shared" ca="1" si="21"/>
        <v>45-59 ans</v>
      </c>
      <c r="AO211" s="2" t="str">
        <f t="shared" si="22"/>
        <v>Needs Improvement</v>
      </c>
      <c r="AP211" s="2" t="str">
        <f t="shared" si="23"/>
        <v>FAIBLE</v>
      </c>
    </row>
    <row r="212" spans="1:42">
      <c r="A212" s="2" t="s">
        <v>818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s="2" t="s">
        <v>151</v>
      </c>
      <c r="N212" s="2" t="s">
        <v>451</v>
      </c>
      <c r="O212">
        <v>27229</v>
      </c>
      <c r="P212" s="1">
        <v>30090</v>
      </c>
      <c r="Q212" s="2" t="s">
        <v>17</v>
      </c>
      <c r="R212" s="2" t="s">
        <v>18</v>
      </c>
      <c r="S212" s="2" t="s">
        <v>19</v>
      </c>
      <c r="T212" s="2" t="s">
        <v>20</v>
      </c>
      <c r="U212" s="2" t="s">
        <v>21</v>
      </c>
      <c r="V212" s="1">
        <v>42125</v>
      </c>
      <c r="W212" s="1"/>
      <c r="X212" s="2" t="s">
        <v>22</v>
      </c>
      <c r="Y212" s="2" t="s">
        <v>23</v>
      </c>
      <c r="Z212" s="2" t="s">
        <v>154</v>
      </c>
      <c r="AA212" s="2" t="s">
        <v>155</v>
      </c>
      <c r="AB212">
        <v>17</v>
      </c>
      <c r="AC212" s="2" t="s">
        <v>244</v>
      </c>
      <c r="AD212" s="2" t="s">
        <v>39</v>
      </c>
      <c r="AE212" s="2" t="s">
        <v>57</v>
      </c>
      <c r="AF212">
        <v>5</v>
      </c>
      <c r="AG212">
        <v>0</v>
      </c>
      <c r="AH212" t="s">
        <v>104</v>
      </c>
      <c r="AI212">
        <v>0</v>
      </c>
      <c r="AJ212">
        <v>18</v>
      </c>
      <c r="AK212">
        <f t="shared" ca="1" si="18"/>
        <v>43</v>
      </c>
      <c r="AL212">
        <f t="shared" ca="1" si="19"/>
        <v>10</v>
      </c>
      <c r="AM212" t="str">
        <f t="shared" si="20"/>
        <v>Actif</v>
      </c>
      <c r="AN212" s="2" t="str">
        <f t="shared" ca="1" si="21"/>
        <v>30-44 ans</v>
      </c>
      <c r="AO212" s="2" t="str">
        <f t="shared" si="22"/>
        <v>Fully Meets</v>
      </c>
      <c r="AP212" s="2" t="str">
        <f t="shared" si="23"/>
        <v>SURVEILLER</v>
      </c>
    </row>
    <row r="213" spans="1:42">
      <c r="A213" s="2" t="s">
        <v>819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s="2" t="s">
        <v>15</v>
      </c>
      <c r="N213" s="2" t="s">
        <v>16</v>
      </c>
      <c r="O213">
        <v>2351</v>
      </c>
      <c r="P213" s="1">
        <v>28860</v>
      </c>
      <c r="Q213" s="2" t="s">
        <v>44</v>
      </c>
      <c r="R213" s="2" t="s">
        <v>31</v>
      </c>
      <c r="S213" s="2" t="s">
        <v>19</v>
      </c>
      <c r="T213" s="2" t="s">
        <v>20</v>
      </c>
      <c r="U213" s="2" t="s">
        <v>21</v>
      </c>
      <c r="V213" s="1">
        <v>40726</v>
      </c>
      <c r="W213" s="1">
        <v>41974</v>
      </c>
      <c r="X213" s="2" t="s">
        <v>80</v>
      </c>
      <c r="Y213" s="2" t="s">
        <v>35</v>
      </c>
      <c r="Z213" s="2" t="s">
        <v>24</v>
      </c>
      <c r="AA213" s="2" t="s">
        <v>51</v>
      </c>
      <c r="AB213">
        <v>16</v>
      </c>
      <c r="AC213" s="2" t="s">
        <v>56</v>
      </c>
      <c r="AD213" s="2" t="s">
        <v>39</v>
      </c>
      <c r="AE213" s="2" t="s">
        <v>453</v>
      </c>
      <c r="AF213">
        <v>4</v>
      </c>
      <c r="AG213">
        <v>0</v>
      </c>
      <c r="AH213">
        <v>41367</v>
      </c>
      <c r="AI213">
        <v>0</v>
      </c>
      <c r="AJ213">
        <v>7</v>
      </c>
      <c r="AK213">
        <f t="shared" ca="1" si="18"/>
        <v>47</v>
      </c>
      <c r="AL213">
        <f t="shared" ca="1" si="19"/>
        <v>3</v>
      </c>
      <c r="AM213" t="str">
        <f t="shared" si="20"/>
        <v>Volontaire</v>
      </c>
      <c r="AN213" s="2" t="str">
        <f t="shared" ca="1" si="21"/>
        <v>45-59 ans</v>
      </c>
      <c r="AO213" s="2" t="str">
        <f t="shared" si="22"/>
        <v>Fully Meets</v>
      </c>
      <c r="AP213" s="2" t="str">
        <f t="shared" si="23"/>
        <v>FAIBLE</v>
      </c>
    </row>
    <row r="214" spans="1:42">
      <c r="A214" s="2" t="s">
        <v>820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s="2" t="s">
        <v>60</v>
      </c>
      <c r="N214" s="2" t="s">
        <v>16</v>
      </c>
      <c r="O214">
        <v>1844</v>
      </c>
      <c r="P214" s="1">
        <v>28906</v>
      </c>
      <c r="Q214" s="2" t="s">
        <v>17</v>
      </c>
      <c r="R214" s="2" t="s">
        <v>18</v>
      </c>
      <c r="S214" s="2" t="s">
        <v>19</v>
      </c>
      <c r="T214" s="2" t="s">
        <v>20</v>
      </c>
      <c r="U214" s="2" t="s">
        <v>71</v>
      </c>
      <c r="V214" s="1">
        <v>40735</v>
      </c>
      <c r="W214" s="1">
        <v>42194</v>
      </c>
      <c r="X214" s="2" t="s">
        <v>80</v>
      </c>
      <c r="Y214" s="2" t="s">
        <v>35</v>
      </c>
      <c r="Z214" s="2" t="s">
        <v>62</v>
      </c>
      <c r="AA214" s="2" t="s">
        <v>63</v>
      </c>
      <c r="AB214">
        <v>10</v>
      </c>
      <c r="AC214" s="2" t="s">
        <v>73</v>
      </c>
      <c r="AD214" s="2" t="s">
        <v>27</v>
      </c>
      <c r="AE214" s="2" t="s">
        <v>57</v>
      </c>
      <c r="AF214">
        <v>5</v>
      </c>
      <c r="AG214">
        <v>3</v>
      </c>
      <c r="AH214" t="s">
        <v>455</v>
      </c>
      <c r="AI214">
        <v>0</v>
      </c>
      <c r="AJ214">
        <v>13</v>
      </c>
      <c r="AK214">
        <f t="shared" ca="1" si="18"/>
        <v>47</v>
      </c>
      <c r="AL214">
        <f t="shared" ca="1" si="19"/>
        <v>3</v>
      </c>
      <c r="AM214" t="str">
        <f t="shared" si="20"/>
        <v>Volontaire</v>
      </c>
      <c r="AN214" s="2" t="str">
        <f t="shared" ca="1" si="21"/>
        <v>45-59 ans</v>
      </c>
      <c r="AO214" s="2" t="str">
        <f t="shared" si="22"/>
        <v>Exceeds</v>
      </c>
      <c r="AP214" s="2" t="str">
        <f t="shared" si="23"/>
        <v>SURVEILLER</v>
      </c>
    </row>
    <row r="215" spans="1:42">
      <c r="A215" s="2" t="s">
        <v>821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s="2" t="s">
        <v>87</v>
      </c>
      <c r="N215" s="2" t="s">
        <v>16</v>
      </c>
      <c r="O215">
        <v>2747</v>
      </c>
      <c r="P215" s="1">
        <v>30811</v>
      </c>
      <c r="Q215" s="2" t="s">
        <v>17</v>
      </c>
      <c r="R215" s="2" t="s">
        <v>31</v>
      </c>
      <c r="S215" s="2" t="s">
        <v>19</v>
      </c>
      <c r="T215" s="2" t="s">
        <v>20</v>
      </c>
      <c r="U215" s="2" t="s">
        <v>21</v>
      </c>
      <c r="V215" s="1">
        <v>41651</v>
      </c>
      <c r="W215" s="1">
        <v>42374</v>
      </c>
      <c r="X215" s="2" t="s">
        <v>108</v>
      </c>
      <c r="Y215" s="2" t="s">
        <v>35</v>
      </c>
      <c r="Z215" s="2" t="s">
        <v>36</v>
      </c>
      <c r="AA215" s="2" t="s">
        <v>37</v>
      </c>
      <c r="AB215">
        <v>4</v>
      </c>
      <c r="AC215" s="2" t="s">
        <v>69</v>
      </c>
      <c r="AD215" s="2" t="s">
        <v>39</v>
      </c>
      <c r="AE215" s="2" t="s">
        <v>192</v>
      </c>
      <c r="AF215">
        <v>4</v>
      </c>
      <c r="AG215">
        <v>5</v>
      </c>
      <c r="AH215" t="s">
        <v>456</v>
      </c>
      <c r="AI215">
        <v>0</v>
      </c>
      <c r="AJ215">
        <v>19</v>
      </c>
      <c r="AK215">
        <f t="shared" ca="1" si="18"/>
        <v>41</v>
      </c>
      <c r="AL215">
        <f t="shared" ca="1" si="19"/>
        <v>1</v>
      </c>
      <c r="AM215" t="str">
        <f t="shared" si="20"/>
        <v>Involontaire</v>
      </c>
      <c r="AN215" s="2" t="str">
        <f t="shared" ca="1" si="21"/>
        <v>30-44 ans</v>
      </c>
      <c r="AO215" s="2" t="str">
        <f t="shared" si="22"/>
        <v>Fully Meets</v>
      </c>
      <c r="AP215" s="2" t="str">
        <f t="shared" si="23"/>
        <v>SURVEILLER</v>
      </c>
    </row>
    <row r="216" spans="1:42">
      <c r="A216" s="2" t="s">
        <v>822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s="2" t="s">
        <v>15</v>
      </c>
      <c r="N216" s="2" t="s">
        <v>16</v>
      </c>
      <c r="O216">
        <v>2458</v>
      </c>
      <c r="P216" s="1">
        <v>32219</v>
      </c>
      <c r="Q216" s="2" t="s">
        <v>17</v>
      </c>
      <c r="R216" s="2" t="s">
        <v>18</v>
      </c>
      <c r="S216" s="2" t="s">
        <v>19</v>
      </c>
      <c r="T216" s="2" t="s">
        <v>20</v>
      </c>
      <c r="U216" s="2" t="s">
        <v>71</v>
      </c>
      <c r="V216" s="1">
        <v>40817</v>
      </c>
      <c r="W216" s="1">
        <v>43097</v>
      </c>
      <c r="X216" s="2" t="s">
        <v>34</v>
      </c>
      <c r="Y216" s="2" t="s">
        <v>35</v>
      </c>
      <c r="Z216" s="2" t="s">
        <v>24</v>
      </c>
      <c r="AA216" s="2" t="s">
        <v>55</v>
      </c>
      <c r="AB216">
        <v>39</v>
      </c>
      <c r="AC216" s="2" t="s">
        <v>56</v>
      </c>
      <c r="AD216" s="2" t="s">
        <v>118</v>
      </c>
      <c r="AE216" s="2" t="s">
        <v>459</v>
      </c>
      <c r="AF216">
        <v>5</v>
      </c>
      <c r="AG216">
        <v>0</v>
      </c>
      <c r="AH216">
        <v>42890</v>
      </c>
      <c r="AI216">
        <v>4</v>
      </c>
      <c r="AJ216">
        <v>15</v>
      </c>
      <c r="AK216">
        <f t="shared" ca="1" si="18"/>
        <v>38</v>
      </c>
      <c r="AL216">
        <f t="shared" ca="1" si="19"/>
        <v>6</v>
      </c>
      <c r="AM216" t="str">
        <f t="shared" si="20"/>
        <v>Volontaire</v>
      </c>
      <c r="AN216" s="2" t="str">
        <f t="shared" ca="1" si="21"/>
        <v>30-44 ans</v>
      </c>
      <c r="AO216" s="2" t="str">
        <f t="shared" si="22"/>
        <v>Needs Improvement</v>
      </c>
      <c r="AP216" s="2" t="str">
        <f t="shared" si="23"/>
        <v>SURVEILLER</v>
      </c>
    </row>
    <row r="217" spans="1:42">
      <c r="A217" s="2" t="s">
        <v>823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s="2" t="s">
        <v>42</v>
      </c>
      <c r="N217" s="2" t="s">
        <v>16</v>
      </c>
      <c r="O217">
        <v>2472</v>
      </c>
      <c r="P217" s="1">
        <v>32707</v>
      </c>
      <c r="Q217" s="2" t="s">
        <v>44</v>
      </c>
      <c r="R217" s="2" t="s">
        <v>31</v>
      </c>
      <c r="S217" s="2" t="s">
        <v>19</v>
      </c>
      <c r="T217" s="2" t="s">
        <v>20</v>
      </c>
      <c r="U217" s="2" t="s">
        <v>111</v>
      </c>
      <c r="V217" s="1">
        <v>40670</v>
      </c>
      <c r="W217" s="1">
        <v>42262</v>
      </c>
      <c r="X217" s="2" t="s">
        <v>86</v>
      </c>
      <c r="Y217" s="2" t="s">
        <v>35</v>
      </c>
      <c r="Z217" s="2" t="s">
        <v>24</v>
      </c>
      <c r="AA217" s="2" t="s">
        <v>59</v>
      </c>
      <c r="AB217">
        <v>11</v>
      </c>
      <c r="AC217" s="2" t="s">
        <v>117</v>
      </c>
      <c r="AD217" s="2" t="s">
        <v>118</v>
      </c>
      <c r="AE217" s="2" t="s">
        <v>462</v>
      </c>
      <c r="AF217">
        <v>5</v>
      </c>
      <c r="AG217">
        <v>0</v>
      </c>
      <c r="AH217">
        <v>42157</v>
      </c>
      <c r="AI217">
        <v>5</v>
      </c>
      <c r="AJ217">
        <v>2</v>
      </c>
      <c r="AK217">
        <f t="shared" ca="1" si="18"/>
        <v>36</v>
      </c>
      <c r="AL217">
        <f t="shared" ca="1" si="19"/>
        <v>4</v>
      </c>
      <c r="AM217" t="str">
        <f t="shared" si="20"/>
        <v>Volontaire</v>
      </c>
      <c r="AN217" s="2" t="str">
        <f t="shared" ca="1" si="21"/>
        <v>30-44 ans</v>
      </c>
      <c r="AO217" s="2" t="str">
        <f t="shared" si="22"/>
        <v>Needs Improvement</v>
      </c>
      <c r="AP217" s="2" t="str">
        <f t="shared" si="23"/>
        <v>FAIBLE</v>
      </c>
    </row>
    <row r="218" spans="1:42">
      <c r="A218" s="2" t="s">
        <v>824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s="2" t="s">
        <v>15</v>
      </c>
      <c r="N218" s="2" t="s">
        <v>16</v>
      </c>
      <c r="O218">
        <v>2176</v>
      </c>
      <c r="P218" s="1">
        <v>31613</v>
      </c>
      <c r="Q218" s="2" t="s">
        <v>44</v>
      </c>
      <c r="R218" s="2" t="s">
        <v>18</v>
      </c>
      <c r="S218" s="2" t="s">
        <v>19</v>
      </c>
      <c r="T218" s="2" t="s">
        <v>20</v>
      </c>
      <c r="U218" s="2" t="s">
        <v>21</v>
      </c>
      <c r="V218" s="1">
        <v>40679</v>
      </c>
      <c r="W218" s="1">
        <v>42302</v>
      </c>
      <c r="X218" s="2" t="s">
        <v>465</v>
      </c>
      <c r="Y218" s="2" t="s">
        <v>35</v>
      </c>
      <c r="Z218" s="2" t="s">
        <v>24</v>
      </c>
      <c r="AA218" s="2" t="s">
        <v>59</v>
      </c>
      <c r="AB218">
        <v>11</v>
      </c>
      <c r="AC218" s="2" t="s">
        <v>26</v>
      </c>
      <c r="AD218" s="2" t="s">
        <v>39</v>
      </c>
      <c r="AE218" s="2" t="s">
        <v>466</v>
      </c>
      <c r="AF218">
        <v>4</v>
      </c>
      <c r="AG218">
        <v>0</v>
      </c>
      <c r="AH218" t="s">
        <v>467</v>
      </c>
      <c r="AI218">
        <v>0</v>
      </c>
      <c r="AJ218">
        <v>5</v>
      </c>
      <c r="AK218">
        <f t="shared" ca="1" si="18"/>
        <v>39</v>
      </c>
      <c r="AL218">
        <f t="shared" ca="1" si="19"/>
        <v>4</v>
      </c>
      <c r="AM218" t="str">
        <f t="shared" si="20"/>
        <v>Volontaire</v>
      </c>
      <c r="AN218" s="2" t="str">
        <f t="shared" ca="1" si="21"/>
        <v>30-44 ans</v>
      </c>
      <c r="AO218" s="2" t="str">
        <f t="shared" si="22"/>
        <v>Fully Meets</v>
      </c>
      <c r="AP218" s="2" t="str">
        <f t="shared" si="23"/>
        <v>FAIBLE</v>
      </c>
    </row>
    <row r="219" spans="1:42">
      <c r="A219" s="2" t="s">
        <v>825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s="2" t="s">
        <v>42</v>
      </c>
      <c r="N219" s="2" t="s">
        <v>16</v>
      </c>
      <c r="O219">
        <v>1886</v>
      </c>
      <c r="P219" s="1">
        <v>31641</v>
      </c>
      <c r="Q219" s="2" t="s">
        <v>44</v>
      </c>
      <c r="R219" s="2" t="s">
        <v>31</v>
      </c>
      <c r="S219" s="2" t="s">
        <v>19</v>
      </c>
      <c r="T219" s="2" t="s">
        <v>20</v>
      </c>
      <c r="U219" s="2" t="s">
        <v>21</v>
      </c>
      <c r="V219" s="1">
        <v>40679</v>
      </c>
      <c r="W219" s="1">
        <v>41366</v>
      </c>
      <c r="X219" s="2" t="s">
        <v>233</v>
      </c>
      <c r="Y219" s="2" t="s">
        <v>35</v>
      </c>
      <c r="Z219" s="2" t="s">
        <v>24</v>
      </c>
      <c r="AA219" s="2" t="s">
        <v>68</v>
      </c>
      <c r="AB219">
        <v>19</v>
      </c>
      <c r="AC219" s="2" t="s">
        <v>38</v>
      </c>
      <c r="AD219" s="2" t="s">
        <v>27</v>
      </c>
      <c r="AE219" s="2" t="s">
        <v>82</v>
      </c>
      <c r="AF219">
        <v>5</v>
      </c>
      <c r="AG219">
        <v>0</v>
      </c>
      <c r="AH219">
        <v>41548</v>
      </c>
      <c r="AI219">
        <v>0</v>
      </c>
      <c r="AJ219">
        <v>12</v>
      </c>
      <c r="AK219">
        <f t="shared" ca="1" si="18"/>
        <v>39</v>
      </c>
      <c r="AL219">
        <f t="shared" ca="1" si="19"/>
        <v>1</v>
      </c>
      <c r="AM219" t="str">
        <f t="shared" si="20"/>
        <v>Volontaire</v>
      </c>
      <c r="AN219" s="2" t="str">
        <f t="shared" ca="1" si="21"/>
        <v>30-44 ans</v>
      </c>
      <c r="AO219" s="2" t="str">
        <f t="shared" si="22"/>
        <v>Exceeds</v>
      </c>
      <c r="AP219" s="2" t="str">
        <f t="shared" si="23"/>
        <v>SURVEILLER</v>
      </c>
    </row>
    <row r="220" spans="1:42">
      <c r="A220" s="2" t="s">
        <v>826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s="2" t="s">
        <v>133</v>
      </c>
      <c r="N220" s="2" t="s">
        <v>16</v>
      </c>
      <c r="O220">
        <v>2030</v>
      </c>
      <c r="P220" s="1">
        <v>28373</v>
      </c>
      <c r="Q220" s="2" t="s">
        <v>44</v>
      </c>
      <c r="R220" s="2" t="s">
        <v>31</v>
      </c>
      <c r="S220" s="2" t="s">
        <v>19</v>
      </c>
      <c r="T220" s="2" t="s">
        <v>20</v>
      </c>
      <c r="U220" s="2" t="s">
        <v>21</v>
      </c>
      <c r="V220" s="1">
        <v>40476</v>
      </c>
      <c r="W220" s="1">
        <v>42508</v>
      </c>
      <c r="X220" s="2" t="s">
        <v>80</v>
      </c>
      <c r="Y220" s="2" t="s">
        <v>35</v>
      </c>
      <c r="Z220" s="2" t="s">
        <v>24</v>
      </c>
      <c r="AA220" s="2" t="s">
        <v>135</v>
      </c>
      <c r="AB220">
        <v>2</v>
      </c>
      <c r="AC220" s="2" t="s">
        <v>38</v>
      </c>
      <c r="AD220" s="2" t="s">
        <v>39</v>
      </c>
      <c r="AE220" s="2" t="s">
        <v>471</v>
      </c>
      <c r="AF220">
        <v>5</v>
      </c>
      <c r="AG220">
        <v>0</v>
      </c>
      <c r="AH220">
        <v>42127</v>
      </c>
      <c r="AI220">
        <v>0</v>
      </c>
      <c r="AJ220">
        <v>6</v>
      </c>
      <c r="AK220">
        <f t="shared" ca="1" si="18"/>
        <v>48</v>
      </c>
      <c r="AL220">
        <f t="shared" ca="1" si="19"/>
        <v>5</v>
      </c>
      <c r="AM220" t="str">
        <f t="shared" si="20"/>
        <v>Volontaire</v>
      </c>
      <c r="AN220" s="2" t="str">
        <f t="shared" ca="1" si="21"/>
        <v>45-59 ans</v>
      </c>
      <c r="AO220" s="2" t="str">
        <f t="shared" si="22"/>
        <v>Fully Meets</v>
      </c>
      <c r="AP220" s="2" t="str">
        <f t="shared" si="23"/>
        <v>FAIBLE</v>
      </c>
    </row>
    <row r="221" spans="1:42">
      <c r="A221" s="2" t="s">
        <v>827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s="2" t="s">
        <v>42</v>
      </c>
      <c r="N221" s="2" t="s">
        <v>16</v>
      </c>
      <c r="O221">
        <v>2050</v>
      </c>
      <c r="P221" s="1">
        <v>29131</v>
      </c>
      <c r="Q221" s="2" t="s">
        <v>44</v>
      </c>
      <c r="R221" s="2" t="s">
        <v>31</v>
      </c>
      <c r="S221" s="2" t="s">
        <v>106</v>
      </c>
      <c r="T221" s="2" t="s">
        <v>20</v>
      </c>
      <c r="U221" s="2" t="s">
        <v>111</v>
      </c>
      <c r="V221" s="1">
        <v>40943</v>
      </c>
      <c r="W221" s="1"/>
      <c r="X221" s="2" t="s">
        <v>22</v>
      </c>
      <c r="Y221" s="2" t="s">
        <v>23</v>
      </c>
      <c r="Z221" s="2" t="s">
        <v>24</v>
      </c>
      <c r="AA221" s="2" t="s">
        <v>72</v>
      </c>
      <c r="AB221">
        <v>12</v>
      </c>
      <c r="AC221" s="2" t="s">
        <v>26</v>
      </c>
      <c r="AD221" s="2" t="s">
        <v>39</v>
      </c>
      <c r="AE221" s="2" t="s">
        <v>187</v>
      </c>
      <c r="AF221">
        <v>3</v>
      </c>
      <c r="AG221">
        <v>0</v>
      </c>
      <c r="AH221" t="s">
        <v>104</v>
      </c>
      <c r="AI221">
        <v>0</v>
      </c>
      <c r="AJ221">
        <v>14</v>
      </c>
      <c r="AK221">
        <f t="shared" ca="1" si="18"/>
        <v>46</v>
      </c>
      <c r="AL221">
        <f t="shared" ca="1" si="19"/>
        <v>14</v>
      </c>
      <c r="AM221" t="str">
        <f t="shared" si="20"/>
        <v>Actif</v>
      </c>
      <c r="AN221" s="2" t="str">
        <f t="shared" ca="1" si="21"/>
        <v>45-59 ans</v>
      </c>
      <c r="AO221" s="2" t="str">
        <f t="shared" si="22"/>
        <v>Fully Meets</v>
      </c>
      <c r="AP221" s="2" t="str">
        <f t="shared" si="23"/>
        <v>SURVEILLER</v>
      </c>
    </row>
    <row r="222" spans="1:42">
      <c r="A222" s="2" t="s">
        <v>828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s="2" t="s">
        <v>87</v>
      </c>
      <c r="N222" s="2" t="s">
        <v>16</v>
      </c>
      <c r="O222">
        <v>1886</v>
      </c>
      <c r="P222" s="1">
        <v>30941</v>
      </c>
      <c r="Q222" s="2" t="s">
        <v>44</v>
      </c>
      <c r="R222" s="2" t="s">
        <v>31</v>
      </c>
      <c r="S222" s="2" t="s">
        <v>19</v>
      </c>
      <c r="T222" s="2" t="s">
        <v>20</v>
      </c>
      <c r="U222" s="2" t="s">
        <v>71</v>
      </c>
      <c r="V222" s="1">
        <v>41923</v>
      </c>
      <c r="W222" s="1"/>
      <c r="X222" s="2" t="s">
        <v>22</v>
      </c>
      <c r="Y222" s="2" t="s">
        <v>23</v>
      </c>
      <c r="Z222" s="2" t="s">
        <v>36</v>
      </c>
      <c r="AA222" s="2" t="s">
        <v>37</v>
      </c>
      <c r="AB222">
        <v>4</v>
      </c>
      <c r="AC222" s="2" t="s">
        <v>69</v>
      </c>
      <c r="AD222" s="2" t="s">
        <v>27</v>
      </c>
      <c r="AE222" s="2" t="s">
        <v>28</v>
      </c>
      <c r="AF222">
        <v>5</v>
      </c>
      <c r="AG222">
        <v>7</v>
      </c>
      <c r="AH222">
        <v>43556</v>
      </c>
      <c r="AI222">
        <v>0</v>
      </c>
      <c r="AJ222">
        <v>16</v>
      </c>
      <c r="AK222">
        <f t="shared" ca="1" si="18"/>
        <v>41</v>
      </c>
      <c r="AL222">
        <f t="shared" ca="1" si="19"/>
        <v>11</v>
      </c>
      <c r="AM222" t="str">
        <f t="shared" si="20"/>
        <v>Actif</v>
      </c>
      <c r="AN222" s="2" t="str">
        <f t="shared" ca="1" si="21"/>
        <v>30-44 ans</v>
      </c>
      <c r="AO222" s="2" t="str">
        <f t="shared" si="22"/>
        <v>Exceeds</v>
      </c>
      <c r="AP222" s="2" t="str">
        <f t="shared" si="23"/>
        <v>SURVEILLER</v>
      </c>
    </row>
    <row r="223" spans="1:42">
      <c r="A223" s="2" t="s">
        <v>829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s="2" t="s">
        <v>15</v>
      </c>
      <c r="N223" s="2" t="s">
        <v>16</v>
      </c>
      <c r="O223">
        <v>2451</v>
      </c>
      <c r="P223" s="1">
        <v>32297</v>
      </c>
      <c r="Q223" s="2" t="s">
        <v>17</v>
      </c>
      <c r="R223" s="2" t="s">
        <v>31</v>
      </c>
      <c r="S223" s="2" t="s">
        <v>19</v>
      </c>
      <c r="T223" s="2" t="s">
        <v>20</v>
      </c>
      <c r="U223" s="2" t="s">
        <v>111</v>
      </c>
      <c r="V223" s="1">
        <v>40670</v>
      </c>
      <c r="W223" s="1">
        <v>41243</v>
      </c>
      <c r="X223" s="2" t="s">
        <v>233</v>
      </c>
      <c r="Y223" s="2" t="s">
        <v>35</v>
      </c>
      <c r="Z223" s="2" t="s">
        <v>24</v>
      </c>
      <c r="AA223" s="2" t="s">
        <v>72</v>
      </c>
      <c r="AB223">
        <v>12</v>
      </c>
      <c r="AC223" s="2" t="s">
        <v>56</v>
      </c>
      <c r="AD223" s="2" t="s">
        <v>39</v>
      </c>
      <c r="AE223" s="2" t="s">
        <v>57</v>
      </c>
      <c r="AF223">
        <v>3</v>
      </c>
      <c r="AG223">
        <v>0</v>
      </c>
      <c r="AH223" t="s">
        <v>92</v>
      </c>
      <c r="AI223">
        <v>0</v>
      </c>
      <c r="AJ223">
        <v>13</v>
      </c>
      <c r="AK223">
        <f t="shared" ca="1" si="18"/>
        <v>37</v>
      </c>
      <c r="AL223">
        <f t="shared" ca="1" si="19"/>
        <v>1</v>
      </c>
      <c r="AM223" t="str">
        <f t="shared" si="20"/>
        <v>Volontaire</v>
      </c>
      <c r="AN223" s="2" t="str">
        <f t="shared" ca="1" si="21"/>
        <v>30-44 ans</v>
      </c>
      <c r="AO223" s="2" t="str">
        <f t="shared" si="22"/>
        <v>Fully Meets</v>
      </c>
      <c r="AP223" s="2" t="str">
        <f t="shared" si="23"/>
        <v>SURVEILLER</v>
      </c>
    </row>
    <row r="224" spans="1:42">
      <c r="A224" s="2" t="s">
        <v>830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s="2" t="s">
        <v>15</v>
      </c>
      <c r="N224" s="2" t="s">
        <v>16</v>
      </c>
      <c r="O224">
        <v>2451</v>
      </c>
      <c r="P224" s="1">
        <v>29913</v>
      </c>
      <c r="Q224" s="2" t="s">
        <v>17</v>
      </c>
      <c r="R224" s="2" t="s">
        <v>18</v>
      </c>
      <c r="S224" s="2" t="s">
        <v>19</v>
      </c>
      <c r="T224" s="2" t="s">
        <v>20</v>
      </c>
      <c r="U224" s="2" t="s">
        <v>21</v>
      </c>
      <c r="V224" s="1">
        <v>39213</v>
      </c>
      <c r="W224" s="1"/>
      <c r="X224" s="2" t="s">
        <v>22</v>
      </c>
      <c r="Y224" s="2" t="s">
        <v>23</v>
      </c>
      <c r="Z224" s="2" t="s">
        <v>24</v>
      </c>
      <c r="AA224" s="2" t="s">
        <v>81</v>
      </c>
      <c r="AB224">
        <v>14</v>
      </c>
      <c r="AC224" s="2" t="s">
        <v>56</v>
      </c>
      <c r="AD224" s="2" t="s">
        <v>39</v>
      </c>
      <c r="AE224" s="2" t="s">
        <v>287</v>
      </c>
      <c r="AF224">
        <v>3</v>
      </c>
      <c r="AG224">
        <v>0</v>
      </c>
      <c r="AH224" t="s">
        <v>70</v>
      </c>
      <c r="AI224">
        <v>0</v>
      </c>
      <c r="AJ224">
        <v>15</v>
      </c>
      <c r="AK224">
        <f t="shared" ca="1" si="18"/>
        <v>44</v>
      </c>
      <c r="AL224">
        <f t="shared" ca="1" si="19"/>
        <v>18</v>
      </c>
      <c r="AM224" t="str">
        <f t="shared" si="20"/>
        <v>Actif</v>
      </c>
      <c r="AN224" s="2" t="str">
        <f t="shared" ca="1" si="21"/>
        <v>30-44 ans</v>
      </c>
      <c r="AO224" s="2" t="str">
        <f t="shared" si="22"/>
        <v>Fully Meets</v>
      </c>
      <c r="AP224" s="2" t="str">
        <f t="shared" si="23"/>
        <v>SURVEILLER</v>
      </c>
    </row>
    <row r="225" spans="1:42">
      <c r="A225" s="2" t="s">
        <v>831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s="2" t="s">
        <v>151</v>
      </c>
      <c r="N225" s="2" t="s">
        <v>475</v>
      </c>
      <c r="O225">
        <v>40220</v>
      </c>
      <c r="P225" s="1">
        <v>32384</v>
      </c>
      <c r="Q225" s="2" t="s">
        <v>44</v>
      </c>
      <c r="R225" s="2" t="s">
        <v>31</v>
      </c>
      <c r="S225" s="2" t="s">
        <v>19</v>
      </c>
      <c r="T225" s="2" t="s">
        <v>20</v>
      </c>
      <c r="U225" s="2" t="s">
        <v>71</v>
      </c>
      <c r="V225" s="1">
        <v>41153</v>
      </c>
      <c r="W225" s="1"/>
      <c r="X225" s="2" t="s">
        <v>22</v>
      </c>
      <c r="Y225" s="2" t="s">
        <v>23</v>
      </c>
      <c r="Z225" s="2" t="s">
        <v>154</v>
      </c>
      <c r="AA225" s="2" t="s">
        <v>180</v>
      </c>
      <c r="AB225">
        <v>21</v>
      </c>
      <c r="AC225" s="2" t="s">
        <v>244</v>
      </c>
      <c r="AD225" s="2" t="s">
        <v>39</v>
      </c>
      <c r="AE225" s="2" t="s">
        <v>82</v>
      </c>
      <c r="AF225">
        <v>5</v>
      </c>
      <c r="AG225">
        <v>0</v>
      </c>
      <c r="AH225">
        <v>43467</v>
      </c>
      <c r="AI225">
        <v>0</v>
      </c>
      <c r="AJ225">
        <v>9</v>
      </c>
      <c r="AK225">
        <f t="shared" ca="1" si="18"/>
        <v>37</v>
      </c>
      <c r="AL225">
        <f t="shared" ca="1" si="19"/>
        <v>13</v>
      </c>
      <c r="AM225" t="str">
        <f t="shared" si="20"/>
        <v>Actif</v>
      </c>
      <c r="AN225" s="2" t="str">
        <f t="shared" ca="1" si="21"/>
        <v>30-44 ans</v>
      </c>
      <c r="AO225" s="2" t="str">
        <f t="shared" si="22"/>
        <v>Fully Meets</v>
      </c>
      <c r="AP225" s="2" t="str">
        <f t="shared" si="23"/>
        <v>FAIBLE</v>
      </c>
    </row>
    <row r="226" spans="1:42">
      <c r="A226" s="2" t="s">
        <v>832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s="2" t="s">
        <v>15</v>
      </c>
      <c r="N226" s="2" t="s">
        <v>16</v>
      </c>
      <c r="O226">
        <v>1742</v>
      </c>
      <c r="P226" s="1">
        <v>30970</v>
      </c>
      <c r="Q226" s="2" t="s">
        <v>44</v>
      </c>
      <c r="R226" s="2" t="s">
        <v>53</v>
      </c>
      <c r="S226" s="2" t="s">
        <v>106</v>
      </c>
      <c r="T226" s="2" t="s">
        <v>20</v>
      </c>
      <c r="U226" s="2" t="s">
        <v>111</v>
      </c>
      <c r="V226" s="1">
        <v>40679</v>
      </c>
      <c r="W226" s="1">
        <v>43196</v>
      </c>
      <c r="X226" s="2" t="s">
        <v>80</v>
      </c>
      <c r="Y226" s="2" t="s">
        <v>35</v>
      </c>
      <c r="Z226" s="2" t="s">
        <v>24</v>
      </c>
      <c r="AA226" s="2" t="s">
        <v>47</v>
      </c>
      <c r="AB226">
        <v>20</v>
      </c>
      <c r="AC226" s="2" t="s">
        <v>56</v>
      </c>
      <c r="AD226" s="2" t="s">
        <v>39</v>
      </c>
      <c r="AE226" s="2" t="s">
        <v>478</v>
      </c>
      <c r="AF226">
        <v>4</v>
      </c>
      <c r="AG226">
        <v>0</v>
      </c>
      <c r="AH226">
        <v>43135</v>
      </c>
      <c r="AI226">
        <v>0</v>
      </c>
      <c r="AJ226">
        <v>14</v>
      </c>
      <c r="AK226">
        <f t="shared" ca="1" si="18"/>
        <v>41</v>
      </c>
      <c r="AL226">
        <f t="shared" ca="1" si="19"/>
        <v>6</v>
      </c>
      <c r="AM226" t="str">
        <f t="shared" si="20"/>
        <v>Volontaire</v>
      </c>
      <c r="AN226" s="2" t="str">
        <f t="shared" ca="1" si="21"/>
        <v>30-44 ans</v>
      </c>
      <c r="AO226" s="2" t="str">
        <f t="shared" si="22"/>
        <v>Fully Meets</v>
      </c>
      <c r="AP226" s="2" t="str">
        <f t="shared" si="23"/>
        <v>SURVEILLER</v>
      </c>
    </row>
    <row r="227" spans="1:42">
      <c r="A227" s="2" t="s">
        <v>833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s="2" t="s">
        <v>15</v>
      </c>
      <c r="N227" s="2" t="s">
        <v>16</v>
      </c>
      <c r="O227">
        <v>2109</v>
      </c>
      <c r="P227" s="1">
        <v>22451</v>
      </c>
      <c r="Q227" s="2" t="s">
        <v>17</v>
      </c>
      <c r="R227" s="2" t="s">
        <v>18</v>
      </c>
      <c r="S227" s="2" t="s">
        <v>19</v>
      </c>
      <c r="T227" s="2" t="s">
        <v>20</v>
      </c>
      <c r="U227" s="2" t="s">
        <v>21</v>
      </c>
      <c r="V227" s="1">
        <v>41791</v>
      </c>
      <c r="W227" s="1"/>
      <c r="X227" s="2" t="s">
        <v>22</v>
      </c>
      <c r="Y227" s="2" t="s">
        <v>23</v>
      </c>
      <c r="Z227" s="2" t="s">
        <v>24</v>
      </c>
      <c r="AA227" s="2" t="s">
        <v>93</v>
      </c>
      <c r="AB227">
        <v>18</v>
      </c>
      <c r="AC227" s="2" t="s">
        <v>69</v>
      </c>
      <c r="AD227" s="2" t="s">
        <v>39</v>
      </c>
      <c r="AE227" s="2" t="s">
        <v>121</v>
      </c>
      <c r="AF227">
        <v>3</v>
      </c>
      <c r="AG227">
        <v>0</v>
      </c>
      <c r="AH227">
        <v>43647</v>
      </c>
      <c r="AI227">
        <v>0</v>
      </c>
      <c r="AJ227">
        <v>14</v>
      </c>
      <c r="AK227">
        <f t="shared" ca="1" si="18"/>
        <v>64</v>
      </c>
      <c r="AL227">
        <f t="shared" ca="1" si="19"/>
        <v>11</v>
      </c>
      <c r="AM227" t="str">
        <f t="shared" si="20"/>
        <v>Actif</v>
      </c>
      <c r="AN227" s="2" t="str">
        <f t="shared" ca="1" si="21"/>
        <v>60 ans et plus</v>
      </c>
      <c r="AO227" s="2" t="str">
        <f t="shared" si="22"/>
        <v>Fully Meets</v>
      </c>
      <c r="AP227" s="2" t="str">
        <f t="shared" si="23"/>
        <v>SURVEILLER</v>
      </c>
    </row>
    <row r="228" spans="1:42">
      <c r="A228" s="2" t="s">
        <v>834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s="2" t="s">
        <v>15</v>
      </c>
      <c r="N228" s="2" t="s">
        <v>16</v>
      </c>
      <c r="O228">
        <v>2474</v>
      </c>
      <c r="P228" s="1">
        <v>25833</v>
      </c>
      <c r="Q228" s="2" t="s">
        <v>44</v>
      </c>
      <c r="R228" s="2" t="s">
        <v>53</v>
      </c>
      <c r="S228" s="2" t="s">
        <v>19</v>
      </c>
      <c r="T228" s="2" t="s">
        <v>20</v>
      </c>
      <c r="U228" s="2" t="s">
        <v>21</v>
      </c>
      <c r="V228" s="1">
        <v>41176</v>
      </c>
      <c r="W228" s="1">
        <v>41443</v>
      </c>
      <c r="X228" s="2" t="s">
        <v>86</v>
      </c>
      <c r="Y228" s="2" t="s">
        <v>35</v>
      </c>
      <c r="Z228" s="2" t="s">
        <v>24</v>
      </c>
      <c r="AA228" s="2" t="s">
        <v>47</v>
      </c>
      <c r="AB228">
        <v>20</v>
      </c>
      <c r="AC228" s="2" t="s">
        <v>38</v>
      </c>
      <c r="AD228" s="2" t="s">
        <v>39</v>
      </c>
      <c r="AE228" s="2" t="s">
        <v>109</v>
      </c>
      <c r="AF228">
        <v>5</v>
      </c>
      <c r="AG228">
        <v>0</v>
      </c>
      <c r="AH228">
        <v>41309</v>
      </c>
      <c r="AI228">
        <v>0</v>
      </c>
      <c r="AJ228">
        <v>16</v>
      </c>
      <c r="AK228">
        <f t="shared" ca="1" si="18"/>
        <v>55</v>
      </c>
      <c r="AL228">
        <f t="shared" ca="1" si="19"/>
        <v>0</v>
      </c>
      <c r="AM228" t="str">
        <f t="shared" si="20"/>
        <v>Volontaire</v>
      </c>
      <c r="AN228" s="2" t="str">
        <f t="shared" ca="1" si="21"/>
        <v>45-59 ans</v>
      </c>
      <c r="AO228" s="2" t="str">
        <f t="shared" si="22"/>
        <v>Fully Meets</v>
      </c>
      <c r="AP228" s="2" t="str">
        <f t="shared" si="23"/>
        <v>SURVEILLER</v>
      </c>
    </row>
    <row r="229" spans="1:42">
      <c r="A229" s="2" t="s">
        <v>835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s="2" t="s">
        <v>60</v>
      </c>
      <c r="N229" s="2" t="s">
        <v>16</v>
      </c>
      <c r="O229">
        <v>2045</v>
      </c>
      <c r="P229" s="1">
        <v>30844</v>
      </c>
      <c r="Q229" s="2" t="s">
        <v>17</v>
      </c>
      <c r="R229" s="2" t="s">
        <v>31</v>
      </c>
      <c r="S229" s="2" t="s">
        <v>106</v>
      </c>
      <c r="T229" s="2" t="s">
        <v>20</v>
      </c>
      <c r="U229" s="2" t="s">
        <v>71</v>
      </c>
      <c r="V229" s="1">
        <v>40595</v>
      </c>
      <c r="W229" s="1">
        <v>42231</v>
      </c>
      <c r="X229" s="2" t="s">
        <v>34</v>
      </c>
      <c r="Y229" s="2" t="s">
        <v>35</v>
      </c>
      <c r="Z229" s="2" t="s">
        <v>62</v>
      </c>
      <c r="AA229" s="2" t="s">
        <v>135</v>
      </c>
      <c r="AB229">
        <v>2</v>
      </c>
      <c r="AC229" s="2" t="s">
        <v>73</v>
      </c>
      <c r="AD229" s="2" t="s">
        <v>39</v>
      </c>
      <c r="AE229" s="2" t="s">
        <v>482</v>
      </c>
      <c r="AF229">
        <v>4</v>
      </c>
      <c r="AG229">
        <v>0</v>
      </c>
      <c r="AH229" t="s">
        <v>483</v>
      </c>
      <c r="AI229">
        <v>0</v>
      </c>
      <c r="AJ229">
        <v>4</v>
      </c>
      <c r="AK229">
        <f t="shared" ca="1" si="18"/>
        <v>41</v>
      </c>
      <c r="AL229">
        <f t="shared" ca="1" si="19"/>
        <v>4</v>
      </c>
      <c r="AM229" t="str">
        <f t="shared" si="20"/>
        <v>Volontaire</v>
      </c>
      <c r="AN229" s="2" t="str">
        <f t="shared" ca="1" si="21"/>
        <v>30-44 ans</v>
      </c>
      <c r="AO229" s="2" t="str">
        <f t="shared" si="22"/>
        <v>Fully Meets</v>
      </c>
      <c r="AP229" s="2" t="str">
        <f t="shared" si="23"/>
        <v>FAIBLE</v>
      </c>
    </row>
    <row r="230" spans="1:42">
      <c r="A230" s="2" t="s">
        <v>836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s="2" t="s">
        <v>236</v>
      </c>
      <c r="N230" s="2" t="s">
        <v>16</v>
      </c>
      <c r="O230">
        <v>2110</v>
      </c>
      <c r="P230" s="1">
        <v>29560</v>
      </c>
      <c r="Q230" s="2" t="s">
        <v>44</v>
      </c>
      <c r="R230" s="2" t="s">
        <v>31</v>
      </c>
      <c r="S230" s="2" t="s">
        <v>19</v>
      </c>
      <c r="T230" s="2" t="s">
        <v>20</v>
      </c>
      <c r="U230" s="2" t="s">
        <v>71</v>
      </c>
      <c r="V230" s="1">
        <v>42410</v>
      </c>
      <c r="W230" s="1"/>
      <c r="X230" s="2" t="s">
        <v>22</v>
      </c>
      <c r="Y230" s="2" t="s">
        <v>23</v>
      </c>
      <c r="Z230" s="2" t="s">
        <v>36</v>
      </c>
      <c r="AA230" s="2" t="s">
        <v>238</v>
      </c>
      <c r="AB230">
        <v>13</v>
      </c>
      <c r="AC230" s="2" t="s">
        <v>38</v>
      </c>
      <c r="AD230" s="2" t="s">
        <v>39</v>
      </c>
      <c r="AE230" s="2" t="s">
        <v>103</v>
      </c>
      <c r="AF230">
        <v>4</v>
      </c>
      <c r="AG230">
        <v>6</v>
      </c>
      <c r="AH230">
        <v>43618</v>
      </c>
      <c r="AI230">
        <v>0</v>
      </c>
      <c r="AJ230">
        <v>10</v>
      </c>
      <c r="AK230">
        <f t="shared" ca="1" si="18"/>
        <v>45</v>
      </c>
      <c r="AL230">
        <f t="shared" ca="1" si="19"/>
        <v>10</v>
      </c>
      <c r="AM230" t="str">
        <f t="shared" si="20"/>
        <v>Actif</v>
      </c>
      <c r="AN230" s="2" t="str">
        <f t="shared" ca="1" si="21"/>
        <v>45-59 ans</v>
      </c>
      <c r="AO230" s="2" t="str">
        <f t="shared" si="22"/>
        <v>Fully Meets</v>
      </c>
      <c r="AP230" s="2" t="str">
        <f t="shared" si="23"/>
        <v>FAIBLE</v>
      </c>
    </row>
    <row r="231" spans="1:42">
      <c r="A231" s="2" t="s">
        <v>837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s="2" t="s">
        <v>15</v>
      </c>
      <c r="N231" s="2" t="s">
        <v>16</v>
      </c>
      <c r="O231">
        <v>2478</v>
      </c>
      <c r="P231" s="1">
        <v>31047</v>
      </c>
      <c r="Q231" s="2" t="s">
        <v>17</v>
      </c>
      <c r="R231" s="2" t="s">
        <v>53</v>
      </c>
      <c r="S231" s="2" t="s">
        <v>19</v>
      </c>
      <c r="T231" s="2" t="s">
        <v>20</v>
      </c>
      <c r="U231" s="2" t="s">
        <v>21</v>
      </c>
      <c r="V231" s="1">
        <v>40812</v>
      </c>
      <c r="W231" s="1">
        <v>43285</v>
      </c>
      <c r="X231" s="2" t="s">
        <v>233</v>
      </c>
      <c r="Y231" s="2" t="s">
        <v>35</v>
      </c>
      <c r="Z231" s="2" t="s">
        <v>24</v>
      </c>
      <c r="AA231" s="2" t="s">
        <v>25</v>
      </c>
      <c r="AB231">
        <v>22</v>
      </c>
      <c r="AC231" s="2" t="s">
        <v>38</v>
      </c>
      <c r="AD231" s="2" t="s">
        <v>39</v>
      </c>
      <c r="AE231" s="2" t="s">
        <v>178</v>
      </c>
      <c r="AF231">
        <v>5</v>
      </c>
      <c r="AG231">
        <v>0</v>
      </c>
      <c r="AH231">
        <v>43192</v>
      </c>
      <c r="AI231">
        <v>0</v>
      </c>
      <c r="AJ231">
        <v>19</v>
      </c>
      <c r="AK231">
        <f t="shared" ca="1" si="18"/>
        <v>41</v>
      </c>
      <c r="AL231">
        <f t="shared" ca="1" si="19"/>
        <v>6</v>
      </c>
      <c r="AM231" t="str">
        <f t="shared" si="20"/>
        <v>Volontaire</v>
      </c>
      <c r="AN231" s="2" t="str">
        <f t="shared" ca="1" si="21"/>
        <v>30-44 ans</v>
      </c>
      <c r="AO231" s="2" t="str">
        <f t="shared" si="22"/>
        <v>Fully Meets</v>
      </c>
      <c r="AP231" s="2" t="str">
        <f t="shared" si="23"/>
        <v>SURVEILLER</v>
      </c>
    </row>
    <row r="232" spans="1:42">
      <c r="A232" s="2" t="s">
        <v>838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s="2" t="s">
        <v>151</v>
      </c>
      <c r="N232" s="2" t="s">
        <v>485</v>
      </c>
      <c r="O232">
        <v>83706</v>
      </c>
      <c r="P232" s="1">
        <v>20068</v>
      </c>
      <c r="Q232" s="2" t="s">
        <v>17</v>
      </c>
      <c r="R232" s="2" t="s">
        <v>31</v>
      </c>
      <c r="S232" s="2" t="s">
        <v>19</v>
      </c>
      <c r="T232" s="2" t="s">
        <v>20</v>
      </c>
      <c r="U232" s="2" t="s">
        <v>21</v>
      </c>
      <c r="V232" s="1">
        <v>41978</v>
      </c>
      <c r="W232" s="1"/>
      <c r="X232" s="2" t="s">
        <v>22</v>
      </c>
      <c r="Y232" s="2" t="s">
        <v>23</v>
      </c>
      <c r="Z232" s="2" t="s">
        <v>154</v>
      </c>
      <c r="AA232" s="2" t="s">
        <v>155</v>
      </c>
      <c r="AB232">
        <v>17</v>
      </c>
      <c r="AC232" s="2" t="s">
        <v>117</v>
      </c>
      <c r="AD232" s="2" t="s">
        <v>39</v>
      </c>
      <c r="AE232" s="2" t="s">
        <v>486</v>
      </c>
      <c r="AF232">
        <v>3</v>
      </c>
      <c r="AG232">
        <v>0</v>
      </c>
      <c r="AH232" t="s">
        <v>213</v>
      </c>
      <c r="AI232">
        <v>0</v>
      </c>
      <c r="AJ232">
        <v>4</v>
      </c>
      <c r="AK232">
        <f t="shared" ca="1" si="18"/>
        <v>71</v>
      </c>
      <c r="AL232">
        <f t="shared" ca="1" si="19"/>
        <v>11</v>
      </c>
      <c r="AM232" t="str">
        <f t="shared" si="20"/>
        <v>Actif</v>
      </c>
      <c r="AN232" s="2" t="str">
        <f t="shared" ca="1" si="21"/>
        <v>60 ans et plus</v>
      </c>
      <c r="AO232" s="2" t="str">
        <f t="shared" si="22"/>
        <v>Fully Meets</v>
      </c>
      <c r="AP232" s="2" t="str">
        <f t="shared" si="23"/>
        <v>FAIBLE</v>
      </c>
    </row>
    <row r="233" spans="1:42">
      <c r="A233" s="2" t="s">
        <v>839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s="2" t="s">
        <v>15</v>
      </c>
      <c r="N233" s="2" t="s">
        <v>16</v>
      </c>
      <c r="O233">
        <v>2176</v>
      </c>
      <c r="P233" s="1">
        <v>30154</v>
      </c>
      <c r="Q233" s="2" t="s">
        <v>17</v>
      </c>
      <c r="R233" s="2" t="s">
        <v>53</v>
      </c>
      <c r="S233" s="2" t="s">
        <v>19</v>
      </c>
      <c r="T233" s="2" t="s">
        <v>79</v>
      </c>
      <c r="U233" s="2" t="s">
        <v>21</v>
      </c>
      <c r="V233" s="1">
        <v>40679</v>
      </c>
      <c r="W233" s="1">
        <v>42384</v>
      </c>
      <c r="X233" s="2" t="s">
        <v>134</v>
      </c>
      <c r="Y233" s="2" t="s">
        <v>35</v>
      </c>
      <c r="Z233" s="2" t="s">
        <v>24</v>
      </c>
      <c r="AA233" s="2" t="s">
        <v>51</v>
      </c>
      <c r="AB233">
        <v>16</v>
      </c>
      <c r="AC233" s="2" t="s">
        <v>26</v>
      </c>
      <c r="AD233" s="2" t="s">
        <v>39</v>
      </c>
      <c r="AE233" s="2" t="s">
        <v>57</v>
      </c>
      <c r="AF233">
        <v>4</v>
      </c>
      <c r="AG233">
        <v>0</v>
      </c>
      <c r="AH233" t="s">
        <v>32</v>
      </c>
      <c r="AI233">
        <v>0</v>
      </c>
      <c r="AJ233">
        <v>11</v>
      </c>
      <c r="AK233">
        <f t="shared" ca="1" si="18"/>
        <v>43</v>
      </c>
      <c r="AL233">
        <f t="shared" ca="1" si="19"/>
        <v>4</v>
      </c>
      <c r="AM233" t="str">
        <f t="shared" si="20"/>
        <v>Volontaire</v>
      </c>
      <c r="AN233" s="2" t="str">
        <f t="shared" ca="1" si="21"/>
        <v>30-44 ans</v>
      </c>
      <c r="AO233" s="2" t="str">
        <f t="shared" si="22"/>
        <v>Fully Meets</v>
      </c>
      <c r="AP233" s="2" t="str">
        <f t="shared" si="23"/>
        <v>SURVEILLER</v>
      </c>
    </row>
    <row r="234" spans="1:42">
      <c r="A234" s="2" t="s">
        <v>840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s="2" t="s">
        <v>15</v>
      </c>
      <c r="N234" s="2" t="s">
        <v>16</v>
      </c>
      <c r="O234">
        <v>2171</v>
      </c>
      <c r="P234" s="1">
        <v>26999</v>
      </c>
      <c r="Q234" s="2" t="s">
        <v>44</v>
      </c>
      <c r="R234" s="2" t="s">
        <v>31</v>
      </c>
      <c r="S234" s="2" t="s">
        <v>19</v>
      </c>
      <c r="T234" s="2" t="s">
        <v>20</v>
      </c>
      <c r="U234" s="2" t="s">
        <v>111</v>
      </c>
      <c r="V234" s="1">
        <v>40875</v>
      </c>
      <c r="W234" s="1"/>
      <c r="X234" s="2" t="s">
        <v>22</v>
      </c>
      <c r="Y234" s="2" t="s">
        <v>23</v>
      </c>
      <c r="Z234" s="2" t="s">
        <v>24</v>
      </c>
      <c r="AA234" s="2" t="s">
        <v>55</v>
      </c>
      <c r="AC234" s="2" t="s">
        <v>56</v>
      </c>
      <c r="AD234" s="2" t="s">
        <v>27</v>
      </c>
      <c r="AE234" s="2" t="s">
        <v>489</v>
      </c>
      <c r="AF234">
        <v>5</v>
      </c>
      <c r="AG234">
        <v>0</v>
      </c>
      <c r="AH234">
        <v>43771</v>
      </c>
      <c r="AI234">
        <v>0</v>
      </c>
      <c r="AJ234">
        <v>16</v>
      </c>
      <c r="AK234">
        <f t="shared" ca="1" si="18"/>
        <v>52</v>
      </c>
      <c r="AL234">
        <f t="shared" ca="1" si="19"/>
        <v>14</v>
      </c>
      <c r="AM234" t="str">
        <f t="shared" si="20"/>
        <v>Actif</v>
      </c>
      <c r="AN234" s="2" t="str">
        <f t="shared" ca="1" si="21"/>
        <v>45-59 ans</v>
      </c>
      <c r="AO234" s="2" t="str">
        <f t="shared" si="22"/>
        <v>Exceeds</v>
      </c>
      <c r="AP234" s="2" t="str">
        <f t="shared" si="23"/>
        <v>SURVEILLER</v>
      </c>
    </row>
    <row r="235" spans="1:42">
      <c r="A235" s="2" t="s">
        <v>841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s="2" t="s">
        <v>42</v>
      </c>
      <c r="N235" s="2" t="s">
        <v>16</v>
      </c>
      <c r="O235">
        <v>1902</v>
      </c>
      <c r="P235" s="1">
        <v>29715</v>
      </c>
      <c r="Q235" s="2" t="s">
        <v>44</v>
      </c>
      <c r="R235" s="2" t="s">
        <v>53</v>
      </c>
      <c r="S235" s="2" t="s">
        <v>106</v>
      </c>
      <c r="T235" s="2" t="s">
        <v>20</v>
      </c>
      <c r="U235" s="2" t="s">
        <v>71</v>
      </c>
      <c r="V235" s="1">
        <v>40812</v>
      </c>
      <c r="W235" s="1">
        <v>40838</v>
      </c>
      <c r="X235" s="2" t="s">
        <v>54</v>
      </c>
      <c r="Y235" s="2" t="s">
        <v>35</v>
      </c>
      <c r="Z235" s="2" t="s">
        <v>24</v>
      </c>
      <c r="AA235" s="2" t="s">
        <v>81</v>
      </c>
      <c r="AB235">
        <v>14</v>
      </c>
      <c r="AC235" s="2" t="s">
        <v>56</v>
      </c>
      <c r="AD235" s="2" t="s">
        <v>39</v>
      </c>
      <c r="AE235" s="2" t="s">
        <v>109</v>
      </c>
      <c r="AF235">
        <v>4</v>
      </c>
      <c r="AG235">
        <v>0</v>
      </c>
      <c r="AH235" t="s">
        <v>490</v>
      </c>
      <c r="AI235">
        <v>0</v>
      </c>
      <c r="AJ235">
        <v>10</v>
      </c>
      <c r="AK235">
        <f t="shared" ca="1" si="18"/>
        <v>44</v>
      </c>
      <c r="AL235">
        <f t="shared" ca="1" si="19"/>
        <v>0</v>
      </c>
      <c r="AM235" t="str">
        <f t="shared" si="20"/>
        <v>Volontaire</v>
      </c>
      <c r="AN235" s="2" t="str">
        <f t="shared" ca="1" si="21"/>
        <v>30-44 ans</v>
      </c>
      <c r="AO235" s="2" t="str">
        <f t="shared" si="22"/>
        <v>Fully Meets</v>
      </c>
      <c r="AP235" s="2" t="str">
        <f t="shared" si="23"/>
        <v>FAIBLE</v>
      </c>
    </row>
    <row r="236" spans="1:42">
      <c r="A236" s="2" t="s">
        <v>842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s="2" t="s">
        <v>42</v>
      </c>
      <c r="N236" s="2" t="s">
        <v>16</v>
      </c>
      <c r="O236">
        <v>2138</v>
      </c>
      <c r="P236" s="1">
        <v>26365</v>
      </c>
      <c r="Q236" s="2" t="s">
        <v>17</v>
      </c>
      <c r="R236" s="2" t="s">
        <v>31</v>
      </c>
      <c r="S236" s="2" t="s">
        <v>19</v>
      </c>
      <c r="T236" s="2" t="s">
        <v>20</v>
      </c>
      <c r="U236" s="2" t="s">
        <v>21</v>
      </c>
      <c r="V236" s="1">
        <v>40670</v>
      </c>
      <c r="W236" s="1">
        <v>41123</v>
      </c>
      <c r="X236" s="2" t="s">
        <v>80</v>
      </c>
      <c r="Y236" s="2" t="s">
        <v>35</v>
      </c>
      <c r="Z236" s="2" t="s">
        <v>24</v>
      </c>
      <c r="AA236" s="2" t="s">
        <v>47</v>
      </c>
      <c r="AB236">
        <v>20</v>
      </c>
      <c r="AC236" s="2" t="s">
        <v>38</v>
      </c>
      <c r="AD236" s="2" t="s">
        <v>39</v>
      </c>
      <c r="AE236" s="2" t="s">
        <v>82</v>
      </c>
      <c r="AF236">
        <v>5</v>
      </c>
      <c r="AG236">
        <v>0</v>
      </c>
      <c r="AH236">
        <v>41061</v>
      </c>
      <c r="AI236">
        <v>0</v>
      </c>
      <c r="AJ236">
        <v>13</v>
      </c>
      <c r="AK236">
        <f t="shared" ca="1" si="18"/>
        <v>54</v>
      </c>
      <c r="AL236">
        <f t="shared" ca="1" si="19"/>
        <v>1</v>
      </c>
      <c r="AM236" t="str">
        <f t="shared" si="20"/>
        <v>Volontaire</v>
      </c>
      <c r="AN236" s="2" t="str">
        <f t="shared" ca="1" si="21"/>
        <v>45-59 ans</v>
      </c>
      <c r="AO236" s="2" t="str">
        <f t="shared" si="22"/>
        <v>Fully Meets</v>
      </c>
      <c r="AP236" s="2" t="str">
        <f t="shared" si="23"/>
        <v>SURVEILLER</v>
      </c>
    </row>
    <row r="237" spans="1:42">
      <c r="A237" s="2" t="s">
        <v>843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s="2" t="s">
        <v>15</v>
      </c>
      <c r="N237" s="2" t="s">
        <v>16</v>
      </c>
      <c r="O237">
        <v>1420</v>
      </c>
      <c r="P237" s="1">
        <v>27211</v>
      </c>
      <c r="Q237" s="2" t="s">
        <v>17</v>
      </c>
      <c r="R237" s="2" t="s">
        <v>31</v>
      </c>
      <c r="S237" s="2" t="s">
        <v>19</v>
      </c>
      <c r="T237" s="2" t="s">
        <v>20</v>
      </c>
      <c r="U237" s="2" t="s">
        <v>71</v>
      </c>
      <c r="V237" s="1">
        <v>40817</v>
      </c>
      <c r="W237" s="1">
        <v>42395</v>
      </c>
      <c r="X237" s="2" t="s">
        <v>99</v>
      </c>
      <c r="Y237" s="2" t="s">
        <v>35</v>
      </c>
      <c r="Z237" s="2" t="s">
        <v>24</v>
      </c>
      <c r="AA237" s="2" t="s">
        <v>59</v>
      </c>
      <c r="AB237">
        <v>11</v>
      </c>
      <c r="AC237" s="2" t="s">
        <v>38</v>
      </c>
      <c r="AD237" s="2" t="s">
        <v>39</v>
      </c>
      <c r="AE237" s="2" t="s">
        <v>57</v>
      </c>
      <c r="AF237">
        <v>3</v>
      </c>
      <c r="AG237">
        <v>0</v>
      </c>
      <c r="AH237">
        <v>42278</v>
      </c>
      <c r="AI237">
        <v>0</v>
      </c>
      <c r="AJ237">
        <v>11</v>
      </c>
      <c r="AK237">
        <f t="shared" ca="1" si="18"/>
        <v>51</v>
      </c>
      <c r="AL237">
        <f t="shared" ca="1" si="19"/>
        <v>4</v>
      </c>
      <c r="AM237" t="str">
        <f t="shared" si="20"/>
        <v>Involontaire</v>
      </c>
      <c r="AN237" s="2" t="str">
        <f t="shared" ca="1" si="21"/>
        <v>45-59 ans</v>
      </c>
      <c r="AO237" s="2" t="str">
        <f t="shared" si="22"/>
        <v>Fully Meets</v>
      </c>
      <c r="AP237" s="2" t="str">
        <f t="shared" si="23"/>
        <v>SURVEILLER</v>
      </c>
    </row>
    <row r="238" spans="1:42">
      <c r="A238" s="2" t="s">
        <v>844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s="2" t="s">
        <v>15</v>
      </c>
      <c r="N238" s="2" t="s">
        <v>16</v>
      </c>
      <c r="O238">
        <v>1460</v>
      </c>
      <c r="P238" s="1">
        <v>31229</v>
      </c>
      <c r="Q238" s="2" t="s">
        <v>44</v>
      </c>
      <c r="R238" s="2" t="s">
        <v>31</v>
      </c>
      <c r="S238" s="2" t="s">
        <v>19</v>
      </c>
      <c r="T238" s="2" t="s">
        <v>20</v>
      </c>
      <c r="U238" s="2" t="s">
        <v>21</v>
      </c>
      <c r="V238" s="1">
        <v>40817</v>
      </c>
      <c r="W238" s="1">
        <v>42507</v>
      </c>
      <c r="X238" s="2" t="s">
        <v>99</v>
      </c>
      <c r="Y238" s="2" t="s">
        <v>100</v>
      </c>
      <c r="Z238" s="2" t="s">
        <v>24</v>
      </c>
      <c r="AA238" s="2" t="s">
        <v>68</v>
      </c>
      <c r="AB238">
        <v>19</v>
      </c>
      <c r="AC238" s="2" t="s">
        <v>38</v>
      </c>
      <c r="AD238" s="2" t="s">
        <v>118</v>
      </c>
      <c r="AE238" s="2" t="s">
        <v>343</v>
      </c>
      <c r="AF238">
        <v>3</v>
      </c>
      <c r="AG238">
        <v>0</v>
      </c>
      <c r="AH238">
        <v>42494</v>
      </c>
      <c r="AI238">
        <v>4</v>
      </c>
      <c r="AJ238">
        <v>16</v>
      </c>
      <c r="AK238">
        <f t="shared" ca="1" si="18"/>
        <v>40</v>
      </c>
      <c r="AL238">
        <f t="shared" ca="1" si="19"/>
        <v>4</v>
      </c>
      <c r="AM238" t="str">
        <f t="shared" si="20"/>
        <v>Involontaire</v>
      </c>
      <c r="AN238" s="2" t="str">
        <f t="shared" ca="1" si="21"/>
        <v>30-44 ans</v>
      </c>
      <c r="AO238" s="2" t="str">
        <f t="shared" si="22"/>
        <v>Needs Improvement</v>
      </c>
      <c r="AP238" s="2" t="str">
        <f t="shared" si="23"/>
        <v>SURVEILLER</v>
      </c>
    </row>
    <row r="239" spans="1:42">
      <c r="A239" s="2" t="s">
        <v>845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s="2" t="s">
        <v>15</v>
      </c>
      <c r="N239" s="2" t="s">
        <v>16</v>
      </c>
      <c r="O239">
        <v>1730</v>
      </c>
      <c r="P239" s="1">
        <v>31075</v>
      </c>
      <c r="Q239" s="2" t="s">
        <v>17</v>
      </c>
      <c r="R239" s="2" t="s">
        <v>66</v>
      </c>
      <c r="S239" s="2" t="s">
        <v>19</v>
      </c>
      <c r="T239" s="2" t="s">
        <v>20</v>
      </c>
      <c r="U239" s="2" t="s">
        <v>21</v>
      </c>
      <c r="V239" s="1">
        <v>41493</v>
      </c>
      <c r="W239" s="1"/>
      <c r="X239" s="2" t="s">
        <v>22</v>
      </c>
      <c r="Y239" s="2" t="s">
        <v>23</v>
      </c>
      <c r="Z239" s="2" t="s">
        <v>24</v>
      </c>
      <c r="AA239" s="2" t="s">
        <v>72</v>
      </c>
      <c r="AB239">
        <v>12</v>
      </c>
      <c r="AC239" s="2" t="s">
        <v>69</v>
      </c>
      <c r="AD239" s="2" t="s">
        <v>27</v>
      </c>
      <c r="AE239" s="2" t="s">
        <v>343</v>
      </c>
      <c r="AF239">
        <v>5</v>
      </c>
      <c r="AG239">
        <v>0</v>
      </c>
      <c r="AH239">
        <v>43771</v>
      </c>
      <c r="AI239">
        <v>0</v>
      </c>
      <c r="AJ239">
        <v>4</v>
      </c>
      <c r="AK239">
        <f t="shared" ca="1" si="18"/>
        <v>41</v>
      </c>
      <c r="AL239">
        <f t="shared" ca="1" si="19"/>
        <v>12</v>
      </c>
      <c r="AM239" t="str">
        <f t="shared" si="20"/>
        <v>Actif</v>
      </c>
      <c r="AN239" s="2" t="str">
        <f t="shared" ca="1" si="21"/>
        <v>30-44 ans</v>
      </c>
      <c r="AO239" s="2" t="str">
        <f t="shared" si="22"/>
        <v>Exceeds</v>
      </c>
      <c r="AP239" s="2" t="str">
        <f t="shared" si="23"/>
        <v>FAIBLE</v>
      </c>
    </row>
    <row r="240" spans="1:42">
      <c r="A240" s="2" t="s">
        <v>846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s="2" t="s">
        <v>87</v>
      </c>
      <c r="N240" s="2" t="s">
        <v>16</v>
      </c>
      <c r="O240">
        <v>1886</v>
      </c>
      <c r="P240" s="1">
        <v>29900</v>
      </c>
      <c r="Q240" s="2" t="s">
        <v>44</v>
      </c>
      <c r="R240" s="2" t="s">
        <v>31</v>
      </c>
      <c r="S240" s="2" t="s">
        <v>19</v>
      </c>
      <c r="T240" s="2" t="s">
        <v>20</v>
      </c>
      <c r="U240" s="2" t="s">
        <v>21</v>
      </c>
      <c r="V240" s="1">
        <v>42051</v>
      </c>
      <c r="W240" s="1"/>
      <c r="X240" s="2" t="s">
        <v>22</v>
      </c>
      <c r="Y240" s="2" t="s">
        <v>23</v>
      </c>
      <c r="Z240" s="2" t="s">
        <v>36</v>
      </c>
      <c r="AA240" s="2" t="s">
        <v>37</v>
      </c>
      <c r="AB240">
        <v>4</v>
      </c>
      <c r="AC240" s="2" t="s">
        <v>69</v>
      </c>
      <c r="AD240" s="2" t="s">
        <v>39</v>
      </c>
      <c r="AE240" s="2" t="s">
        <v>493</v>
      </c>
      <c r="AF240">
        <v>5</v>
      </c>
      <c r="AG240">
        <v>6</v>
      </c>
      <c r="AH240" t="s">
        <v>94</v>
      </c>
      <c r="AI240">
        <v>0</v>
      </c>
      <c r="AJ240">
        <v>15</v>
      </c>
      <c r="AK240">
        <f t="shared" ca="1" si="18"/>
        <v>44</v>
      </c>
      <c r="AL240">
        <f t="shared" ca="1" si="19"/>
        <v>11</v>
      </c>
      <c r="AM240" t="str">
        <f t="shared" si="20"/>
        <v>Actif</v>
      </c>
      <c r="AN240" s="2" t="str">
        <f t="shared" ca="1" si="21"/>
        <v>30-44 ans</v>
      </c>
      <c r="AO240" s="2" t="str">
        <f t="shared" si="22"/>
        <v>Fully Meets</v>
      </c>
      <c r="AP240" s="2" t="str">
        <f t="shared" si="23"/>
        <v>SURVEILLER</v>
      </c>
    </row>
    <row r="241" spans="1:42">
      <c r="A241" s="2" t="s">
        <v>847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s="2" t="s">
        <v>494</v>
      </c>
      <c r="N241" s="2" t="s">
        <v>16</v>
      </c>
      <c r="O241">
        <v>2703</v>
      </c>
      <c r="P241" s="1">
        <v>26811</v>
      </c>
      <c r="Q241" s="2" t="s">
        <v>44</v>
      </c>
      <c r="R241" s="2" t="s">
        <v>18</v>
      </c>
      <c r="S241" s="2" t="s">
        <v>19</v>
      </c>
      <c r="T241" s="2" t="s">
        <v>79</v>
      </c>
      <c r="U241" s="2" t="s">
        <v>21</v>
      </c>
      <c r="V241" s="1">
        <v>42125</v>
      </c>
      <c r="W241" s="1">
        <v>43384</v>
      </c>
      <c r="X241" s="2" t="s">
        <v>80</v>
      </c>
      <c r="Y241" s="2" t="s">
        <v>35</v>
      </c>
      <c r="Z241" s="2" t="s">
        <v>36</v>
      </c>
      <c r="AA241" s="2" t="s">
        <v>37</v>
      </c>
      <c r="AB241">
        <v>4</v>
      </c>
      <c r="AC241" s="2" t="s">
        <v>26</v>
      </c>
      <c r="AD241" s="2" t="s">
        <v>39</v>
      </c>
      <c r="AE241" s="2" t="s">
        <v>247</v>
      </c>
      <c r="AF241">
        <v>3</v>
      </c>
      <c r="AG241">
        <v>7</v>
      </c>
      <c r="AH241" t="s">
        <v>496</v>
      </c>
      <c r="AI241">
        <v>0</v>
      </c>
      <c r="AJ241">
        <v>12</v>
      </c>
      <c r="AK241">
        <f t="shared" ca="1" si="18"/>
        <v>52</v>
      </c>
      <c r="AL241">
        <f t="shared" ca="1" si="19"/>
        <v>3</v>
      </c>
      <c r="AM241" t="str">
        <f t="shared" si="20"/>
        <v>Volontaire</v>
      </c>
      <c r="AN241" s="2" t="str">
        <f t="shared" ca="1" si="21"/>
        <v>45-59 ans</v>
      </c>
      <c r="AO241" s="2" t="str">
        <f t="shared" si="22"/>
        <v>Fully Meets</v>
      </c>
      <c r="AP241" s="2" t="str">
        <f t="shared" si="23"/>
        <v>SURVEILLER</v>
      </c>
    </row>
    <row r="242" spans="1:42">
      <c r="A242" s="2" t="s">
        <v>848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s="2" t="s">
        <v>497</v>
      </c>
      <c r="N242" s="2" t="s">
        <v>16</v>
      </c>
      <c r="O242">
        <v>2056</v>
      </c>
      <c r="P242" s="1">
        <v>26624</v>
      </c>
      <c r="Q242" s="2" t="s">
        <v>44</v>
      </c>
      <c r="R242" s="2" t="s">
        <v>18</v>
      </c>
      <c r="S242" s="2" t="s">
        <v>19</v>
      </c>
      <c r="T242" s="2" t="s">
        <v>20</v>
      </c>
      <c r="U242" s="2" t="s">
        <v>71</v>
      </c>
      <c r="V242" s="1">
        <v>42917</v>
      </c>
      <c r="W242" s="1"/>
      <c r="X242" s="2" t="s">
        <v>22</v>
      </c>
      <c r="Y242" s="2" t="s">
        <v>23</v>
      </c>
      <c r="Z242" s="2" t="s">
        <v>36</v>
      </c>
      <c r="AA242" s="2" t="s">
        <v>238</v>
      </c>
      <c r="AB242">
        <v>13</v>
      </c>
      <c r="AC242" s="2" t="s">
        <v>38</v>
      </c>
      <c r="AD242" s="2" t="s">
        <v>39</v>
      </c>
      <c r="AE242" s="2" t="s">
        <v>499</v>
      </c>
      <c r="AF242">
        <v>3</v>
      </c>
      <c r="AG242">
        <v>5</v>
      </c>
      <c r="AH242">
        <v>43618</v>
      </c>
      <c r="AI242">
        <v>0</v>
      </c>
      <c r="AJ242">
        <v>17</v>
      </c>
      <c r="AK242">
        <f t="shared" ca="1" si="18"/>
        <v>53</v>
      </c>
      <c r="AL242">
        <f t="shared" ca="1" si="19"/>
        <v>8</v>
      </c>
      <c r="AM242" t="str">
        <f t="shared" si="20"/>
        <v>Actif</v>
      </c>
      <c r="AN242" s="2" t="str">
        <f t="shared" ca="1" si="21"/>
        <v>45-59 ans</v>
      </c>
      <c r="AO242" s="2" t="str">
        <f t="shared" si="22"/>
        <v>Fully Meets</v>
      </c>
      <c r="AP242" s="2" t="str">
        <f t="shared" si="23"/>
        <v>SURVEILLER</v>
      </c>
    </row>
    <row r="243" spans="1:42">
      <c r="A243" s="2" t="s">
        <v>849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s="2" t="s">
        <v>15</v>
      </c>
      <c r="N243" s="2" t="s">
        <v>16</v>
      </c>
      <c r="O243">
        <v>1886</v>
      </c>
      <c r="P243" s="1">
        <v>27161</v>
      </c>
      <c r="Q243" s="2" t="s">
        <v>44</v>
      </c>
      <c r="R243" s="2" t="s">
        <v>149</v>
      </c>
      <c r="S243" s="2" t="s">
        <v>19</v>
      </c>
      <c r="T243" s="2" t="s">
        <v>20</v>
      </c>
      <c r="U243" s="2" t="s">
        <v>21</v>
      </c>
      <c r="V243" s="1">
        <v>41791</v>
      </c>
      <c r="W243" s="1"/>
      <c r="X243" s="2" t="s">
        <v>22</v>
      </c>
      <c r="Y243" s="2" t="s">
        <v>23</v>
      </c>
      <c r="Z243" s="2" t="s">
        <v>24</v>
      </c>
      <c r="AA243" s="2" t="s">
        <v>81</v>
      </c>
      <c r="AB243">
        <v>14</v>
      </c>
      <c r="AC243" s="2" t="s">
        <v>244</v>
      </c>
      <c r="AD243" s="2" t="s">
        <v>39</v>
      </c>
      <c r="AE243" s="2" t="s">
        <v>57</v>
      </c>
      <c r="AF243">
        <v>4</v>
      </c>
      <c r="AG243">
        <v>0</v>
      </c>
      <c r="AH243" t="s">
        <v>226</v>
      </c>
      <c r="AI243">
        <v>0</v>
      </c>
      <c r="AJ243">
        <v>8</v>
      </c>
      <c r="AK243">
        <f t="shared" ca="1" si="18"/>
        <v>51</v>
      </c>
      <c r="AL243">
        <f t="shared" ca="1" si="19"/>
        <v>11</v>
      </c>
      <c r="AM243" t="str">
        <f t="shared" si="20"/>
        <v>Actif</v>
      </c>
      <c r="AN243" s="2" t="str">
        <f t="shared" ca="1" si="21"/>
        <v>45-59 ans</v>
      </c>
      <c r="AO243" s="2" t="str">
        <f t="shared" si="22"/>
        <v>Fully Meets</v>
      </c>
      <c r="AP243" s="2" t="str">
        <f t="shared" si="23"/>
        <v>FAIBLE</v>
      </c>
    </row>
    <row r="244" spans="1:42">
      <c r="A244" s="2" t="s">
        <v>850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s="2" t="s">
        <v>15</v>
      </c>
      <c r="N244" s="2" t="s">
        <v>16</v>
      </c>
      <c r="O244">
        <v>2155</v>
      </c>
      <c r="P244" s="1">
        <v>31854</v>
      </c>
      <c r="Q244" s="2" t="s">
        <v>17</v>
      </c>
      <c r="R244" s="2" t="s">
        <v>18</v>
      </c>
      <c r="S244" s="2" t="s">
        <v>19</v>
      </c>
      <c r="T244" s="2" t="s">
        <v>20</v>
      </c>
      <c r="U244" s="2" t="s">
        <v>21</v>
      </c>
      <c r="V244" s="1">
        <v>40637</v>
      </c>
      <c r="W244" s="1">
        <v>43325</v>
      </c>
      <c r="X244" s="2" t="s">
        <v>80</v>
      </c>
      <c r="Y244" s="2" t="s">
        <v>35</v>
      </c>
      <c r="Z244" s="2" t="s">
        <v>24</v>
      </c>
      <c r="AA244" s="2" t="s">
        <v>47</v>
      </c>
      <c r="AB244">
        <v>20</v>
      </c>
      <c r="AC244" s="2" t="s">
        <v>56</v>
      </c>
      <c r="AD244" s="2" t="s">
        <v>39</v>
      </c>
      <c r="AE244" s="2" t="s">
        <v>57</v>
      </c>
      <c r="AF244">
        <v>5</v>
      </c>
      <c r="AG244">
        <v>0</v>
      </c>
      <c r="AH244">
        <v>43138</v>
      </c>
      <c r="AI244">
        <v>0</v>
      </c>
      <c r="AJ244">
        <v>4</v>
      </c>
      <c r="AK244">
        <f t="shared" ca="1" si="18"/>
        <v>39</v>
      </c>
      <c r="AL244">
        <f t="shared" ca="1" si="19"/>
        <v>7</v>
      </c>
      <c r="AM244" t="str">
        <f t="shared" si="20"/>
        <v>Volontaire</v>
      </c>
      <c r="AN244" s="2" t="str">
        <f t="shared" ca="1" si="21"/>
        <v>30-44 ans</v>
      </c>
      <c r="AO244" s="2" t="str">
        <f t="shared" si="22"/>
        <v>Fully Meets</v>
      </c>
      <c r="AP244" s="2" t="str">
        <f t="shared" si="23"/>
        <v>FAIBLE</v>
      </c>
    </row>
    <row r="245" spans="1:42">
      <c r="A245" s="2" t="s">
        <v>851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s="2" t="s">
        <v>502</v>
      </c>
      <c r="N245" s="2" t="s">
        <v>16</v>
      </c>
      <c r="O245">
        <v>2481</v>
      </c>
      <c r="P245" s="1">
        <v>26788</v>
      </c>
      <c r="Q245" s="2" t="s">
        <v>17</v>
      </c>
      <c r="R245" s="2" t="s">
        <v>18</v>
      </c>
      <c r="S245" s="2" t="s">
        <v>19</v>
      </c>
      <c r="T245" s="2" t="s">
        <v>20</v>
      </c>
      <c r="U245" s="2" t="s">
        <v>21</v>
      </c>
      <c r="V245" s="1">
        <v>41294</v>
      </c>
      <c r="W245" s="1"/>
      <c r="X245" s="2" t="s">
        <v>22</v>
      </c>
      <c r="Y245" s="2" t="s">
        <v>23</v>
      </c>
      <c r="Z245" s="2" t="s">
        <v>36</v>
      </c>
      <c r="AA245" s="2" t="s">
        <v>163</v>
      </c>
      <c r="AB245">
        <v>5</v>
      </c>
      <c r="AC245" s="2" t="s">
        <v>38</v>
      </c>
      <c r="AD245" s="2" t="s">
        <v>39</v>
      </c>
      <c r="AE245" s="2" t="s">
        <v>343</v>
      </c>
      <c r="AF245">
        <v>5</v>
      </c>
      <c r="AG245">
        <v>7</v>
      </c>
      <c r="AH245" t="s">
        <v>78</v>
      </c>
      <c r="AI245">
        <v>0</v>
      </c>
      <c r="AJ245">
        <v>13</v>
      </c>
      <c r="AK245">
        <f t="shared" ca="1" si="18"/>
        <v>52</v>
      </c>
      <c r="AL245">
        <f t="shared" ca="1" si="19"/>
        <v>13</v>
      </c>
      <c r="AM245" t="str">
        <f t="shared" si="20"/>
        <v>Actif</v>
      </c>
      <c r="AN245" s="2" t="str">
        <f t="shared" ca="1" si="21"/>
        <v>45-59 ans</v>
      </c>
      <c r="AO245" s="2" t="str">
        <f t="shared" si="22"/>
        <v>Fully Meets</v>
      </c>
      <c r="AP245" s="2" t="str">
        <f t="shared" si="23"/>
        <v>SURVEILLER</v>
      </c>
    </row>
    <row r="246" spans="1:42">
      <c r="A246" s="2" t="s">
        <v>852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s="2" t="s">
        <v>502</v>
      </c>
      <c r="N246" s="2" t="s">
        <v>16</v>
      </c>
      <c r="O246">
        <v>1915</v>
      </c>
      <c r="P246" s="1">
        <v>23468</v>
      </c>
      <c r="Q246" s="2" t="s">
        <v>17</v>
      </c>
      <c r="R246" s="2" t="s">
        <v>53</v>
      </c>
      <c r="S246" s="2" t="s">
        <v>19</v>
      </c>
      <c r="T246" s="2" t="s">
        <v>20</v>
      </c>
      <c r="U246" s="2" t="s">
        <v>71</v>
      </c>
      <c r="V246" s="1">
        <v>41153</v>
      </c>
      <c r="W246" s="1">
        <v>42105</v>
      </c>
      <c r="X246" s="2" t="s">
        <v>46</v>
      </c>
      <c r="Y246" s="2" t="s">
        <v>35</v>
      </c>
      <c r="Z246" s="2" t="s">
        <v>36</v>
      </c>
      <c r="AA246" s="2" t="s">
        <v>163</v>
      </c>
      <c r="AB246">
        <v>5</v>
      </c>
      <c r="AC246" s="2" t="s">
        <v>73</v>
      </c>
      <c r="AD246" s="2" t="s">
        <v>39</v>
      </c>
      <c r="AE246" s="2" t="s">
        <v>187</v>
      </c>
      <c r="AF246">
        <v>4</v>
      </c>
      <c r="AG246">
        <v>6</v>
      </c>
      <c r="AH246">
        <v>42095</v>
      </c>
      <c r="AI246">
        <v>0</v>
      </c>
      <c r="AJ246">
        <v>8</v>
      </c>
      <c r="AK246">
        <f t="shared" ca="1" si="18"/>
        <v>62</v>
      </c>
      <c r="AL246">
        <f t="shared" ca="1" si="19"/>
        <v>2</v>
      </c>
      <c r="AM246" t="str">
        <f t="shared" si="20"/>
        <v>Involontaire</v>
      </c>
      <c r="AN246" s="2" t="str">
        <f t="shared" ca="1" si="21"/>
        <v>60 ans et plus</v>
      </c>
      <c r="AO246" s="2" t="str">
        <f t="shared" si="22"/>
        <v>Fully Meets</v>
      </c>
      <c r="AP246" s="2" t="str">
        <f t="shared" si="23"/>
        <v>FAIBLE</v>
      </c>
    </row>
    <row r="247" spans="1:42">
      <c r="A247" s="2" t="s">
        <v>853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s="2" t="s">
        <v>60</v>
      </c>
      <c r="N247" s="2" t="s">
        <v>16</v>
      </c>
      <c r="O247">
        <v>2132</v>
      </c>
      <c r="P247" s="1">
        <v>31617</v>
      </c>
      <c r="Q247" s="2" t="s">
        <v>44</v>
      </c>
      <c r="R247" s="2" t="s">
        <v>31</v>
      </c>
      <c r="S247" s="2" t="s">
        <v>19</v>
      </c>
      <c r="T247" s="2" t="s">
        <v>20</v>
      </c>
      <c r="U247" s="2" t="s">
        <v>21</v>
      </c>
      <c r="V247" s="1">
        <v>41040</v>
      </c>
      <c r="W247" s="1"/>
      <c r="X247" s="2" t="s">
        <v>22</v>
      </c>
      <c r="Y247" s="2" t="s">
        <v>23</v>
      </c>
      <c r="Z247" s="2" t="s">
        <v>62</v>
      </c>
      <c r="AA247" s="2" t="s">
        <v>63</v>
      </c>
      <c r="AB247">
        <v>10</v>
      </c>
      <c r="AC247" s="2" t="s">
        <v>38</v>
      </c>
      <c r="AD247" s="2" t="s">
        <v>39</v>
      </c>
      <c r="AE247" s="2" t="s">
        <v>82</v>
      </c>
      <c r="AF247">
        <v>3</v>
      </c>
      <c r="AG247">
        <v>6</v>
      </c>
      <c r="AH247" t="s">
        <v>264</v>
      </c>
      <c r="AI247">
        <v>0</v>
      </c>
      <c r="AJ247">
        <v>2</v>
      </c>
      <c r="AK247">
        <f t="shared" ca="1" si="18"/>
        <v>39</v>
      </c>
      <c r="AL247">
        <f t="shared" ca="1" si="19"/>
        <v>13</v>
      </c>
      <c r="AM247" t="str">
        <f t="shared" si="20"/>
        <v>Actif</v>
      </c>
      <c r="AN247" s="2" t="str">
        <f t="shared" ca="1" si="21"/>
        <v>30-44 ans</v>
      </c>
      <c r="AO247" s="2" t="str">
        <f t="shared" si="22"/>
        <v>Fully Meets</v>
      </c>
      <c r="AP247" s="2" t="str">
        <f t="shared" si="23"/>
        <v>FAIBLE</v>
      </c>
    </row>
    <row r="248" spans="1:42">
      <c r="A248" s="2" t="s">
        <v>854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s="2" t="s">
        <v>15</v>
      </c>
      <c r="N248" s="2" t="s">
        <v>16</v>
      </c>
      <c r="O248">
        <v>1801</v>
      </c>
      <c r="P248" s="1">
        <v>24995</v>
      </c>
      <c r="Q248" s="2" t="s">
        <v>44</v>
      </c>
      <c r="R248" s="2" t="s">
        <v>18</v>
      </c>
      <c r="S248" s="2" t="s">
        <v>19</v>
      </c>
      <c r="T248" s="2" t="s">
        <v>20</v>
      </c>
      <c r="U248" s="2" t="s">
        <v>71</v>
      </c>
      <c r="V248" s="1">
        <v>42467</v>
      </c>
      <c r="W248" s="1"/>
      <c r="X248" s="2" t="s">
        <v>22</v>
      </c>
      <c r="Y248" s="2" t="s">
        <v>23</v>
      </c>
      <c r="Z248" s="2" t="s">
        <v>24</v>
      </c>
      <c r="AA248" s="2" t="s">
        <v>93</v>
      </c>
      <c r="AB248">
        <v>18</v>
      </c>
      <c r="AC248" s="2" t="s">
        <v>73</v>
      </c>
      <c r="AD248" s="2" t="s">
        <v>118</v>
      </c>
      <c r="AE248" s="2" t="s">
        <v>505</v>
      </c>
      <c r="AF248">
        <v>4</v>
      </c>
      <c r="AG248">
        <v>0</v>
      </c>
      <c r="AH248" t="s">
        <v>78</v>
      </c>
      <c r="AI248">
        <v>5</v>
      </c>
      <c r="AJ248">
        <v>4</v>
      </c>
      <c r="AK248">
        <f t="shared" ca="1" si="18"/>
        <v>57</v>
      </c>
      <c r="AL248">
        <f t="shared" ca="1" si="19"/>
        <v>9</v>
      </c>
      <c r="AM248" t="str">
        <f t="shared" si="20"/>
        <v>Actif</v>
      </c>
      <c r="AN248" s="2" t="str">
        <f t="shared" ca="1" si="21"/>
        <v>45-59 ans</v>
      </c>
      <c r="AO248" s="2" t="str">
        <f t="shared" si="22"/>
        <v>Needs Improvement</v>
      </c>
      <c r="AP248" s="2" t="str">
        <f t="shared" si="23"/>
        <v>FAIBLE</v>
      </c>
    </row>
    <row r="249" spans="1:42">
      <c r="A249" s="2" t="s">
        <v>855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s="2" t="s">
        <v>15</v>
      </c>
      <c r="N249" s="2" t="s">
        <v>16</v>
      </c>
      <c r="O249">
        <v>2148</v>
      </c>
      <c r="P249" s="1">
        <v>27384</v>
      </c>
      <c r="Q249" s="2" t="s">
        <v>17</v>
      </c>
      <c r="R249" s="2" t="s">
        <v>18</v>
      </c>
      <c r="S249" s="2" t="s">
        <v>19</v>
      </c>
      <c r="T249" s="2" t="s">
        <v>20</v>
      </c>
      <c r="U249" s="2" t="s">
        <v>21</v>
      </c>
      <c r="V249" s="1">
        <v>39934</v>
      </c>
      <c r="W249" s="1">
        <v>43311</v>
      </c>
      <c r="X249" s="2" t="s">
        <v>186</v>
      </c>
      <c r="Y249" s="2" t="s">
        <v>35</v>
      </c>
      <c r="Z249" s="2" t="s">
        <v>24</v>
      </c>
      <c r="AA249" s="2" t="s">
        <v>25</v>
      </c>
      <c r="AB249">
        <v>22</v>
      </c>
      <c r="AC249" s="2" t="s">
        <v>56</v>
      </c>
      <c r="AD249" s="2" t="s">
        <v>39</v>
      </c>
      <c r="AE249" s="2" t="s">
        <v>28</v>
      </c>
      <c r="AF249">
        <v>5</v>
      </c>
      <c r="AG249">
        <v>0</v>
      </c>
      <c r="AH249">
        <v>43222</v>
      </c>
      <c r="AI249">
        <v>0</v>
      </c>
      <c r="AJ249">
        <v>7</v>
      </c>
      <c r="AK249">
        <f t="shared" ca="1" si="18"/>
        <v>51</v>
      </c>
      <c r="AL249">
        <f t="shared" ca="1" si="19"/>
        <v>9</v>
      </c>
      <c r="AM249" t="str">
        <f t="shared" si="20"/>
        <v>Volontaire</v>
      </c>
      <c r="AN249" s="2" t="str">
        <f t="shared" ca="1" si="21"/>
        <v>45-59 ans</v>
      </c>
      <c r="AO249" s="2" t="str">
        <f t="shared" si="22"/>
        <v>Fully Meets</v>
      </c>
      <c r="AP249" s="2" t="str">
        <f t="shared" si="23"/>
        <v>FAIBLE</v>
      </c>
    </row>
    <row r="250" spans="1:42">
      <c r="A250" s="2" t="s">
        <v>856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s="2" t="s">
        <v>42</v>
      </c>
      <c r="N250" s="2" t="s">
        <v>16</v>
      </c>
      <c r="O250">
        <v>2062</v>
      </c>
      <c r="P250" s="1">
        <v>31528</v>
      </c>
      <c r="Q250" s="2" t="s">
        <v>17</v>
      </c>
      <c r="R250" s="2" t="s">
        <v>31</v>
      </c>
      <c r="S250" s="2" t="s">
        <v>19</v>
      </c>
      <c r="T250" s="2" t="s">
        <v>20</v>
      </c>
      <c r="U250" s="2" t="s">
        <v>21</v>
      </c>
      <c r="V250" s="1">
        <v>40420</v>
      </c>
      <c r="W250" s="1"/>
      <c r="X250" s="2" t="s">
        <v>22</v>
      </c>
      <c r="Y250" s="2" t="s">
        <v>23</v>
      </c>
      <c r="Z250" s="2" t="s">
        <v>24</v>
      </c>
      <c r="AA250" s="2" t="s">
        <v>93</v>
      </c>
      <c r="AB250">
        <v>18</v>
      </c>
      <c r="AC250" s="2" t="s">
        <v>117</v>
      </c>
      <c r="AD250" s="2" t="s">
        <v>39</v>
      </c>
      <c r="AE250" s="2" t="s">
        <v>199</v>
      </c>
      <c r="AF250">
        <v>3</v>
      </c>
      <c r="AG250">
        <v>0</v>
      </c>
      <c r="AH250">
        <v>43739</v>
      </c>
      <c r="AI250">
        <v>0</v>
      </c>
      <c r="AJ250">
        <v>13</v>
      </c>
      <c r="AK250">
        <f t="shared" ca="1" si="18"/>
        <v>39</v>
      </c>
      <c r="AL250">
        <f t="shared" ca="1" si="19"/>
        <v>15</v>
      </c>
      <c r="AM250" t="str">
        <f t="shared" si="20"/>
        <v>Actif</v>
      </c>
      <c r="AN250" s="2" t="str">
        <f t="shared" ca="1" si="21"/>
        <v>30-44 ans</v>
      </c>
      <c r="AO250" s="2" t="str">
        <f t="shared" si="22"/>
        <v>Fully Meets</v>
      </c>
      <c r="AP250" s="2" t="str">
        <f t="shared" si="23"/>
        <v>SURVEILLER</v>
      </c>
    </row>
    <row r="251" spans="1:42">
      <c r="A251" s="2" t="s">
        <v>857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s="2" t="s">
        <v>509</v>
      </c>
      <c r="N251" s="2" t="s">
        <v>16</v>
      </c>
      <c r="O251">
        <v>2452</v>
      </c>
      <c r="P251" s="1">
        <v>32128</v>
      </c>
      <c r="Q251" s="2" t="s">
        <v>17</v>
      </c>
      <c r="R251" s="2" t="s">
        <v>53</v>
      </c>
      <c r="S251" s="2" t="s">
        <v>19</v>
      </c>
      <c r="T251" s="2" t="s">
        <v>20</v>
      </c>
      <c r="U251" s="2" t="s">
        <v>71</v>
      </c>
      <c r="V251" s="1">
        <v>42125</v>
      </c>
      <c r="W251" s="1">
        <v>42308</v>
      </c>
      <c r="X251" s="2" t="s">
        <v>46</v>
      </c>
      <c r="Y251" s="2" t="s">
        <v>35</v>
      </c>
      <c r="Z251" s="2" t="s">
        <v>36</v>
      </c>
      <c r="AA251" s="2" t="s">
        <v>37</v>
      </c>
      <c r="AB251">
        <v>4</v>
      </c>
      <c r="AC251" s="2" t="s">
        <v>26</v>
      </c>
      <c r="AD251" s="2" t="s">
        <v>39</v>
      </c>
      <c r="AE251" s="2" t="s">
        <v>82</v>
      </c>
      <c r="AF251">
        <v>3</v>
      </c>
      <c r="AG251">
        <v>5</v>
      </c>
      <c r="AH251" t="s">
        <v>512</v>
      </c>
      <c r="AI251">
        <v>0</v>
      </c>
      <c r="AJ251">
        <v>2</v>
      </c>
      <c r="AK251">
        <f t="shared" ca="1" si="18"/>
        <v>38</v>
      </c>
      <c r="AL251">
        <f t="shared" ca="1" si="19"/>
        <v>0</v>
      </c>
      <c r="AM251" t="str">
        <f t="shared" si="20"/>
        <v>Involontaire</v>
      </c>
      <c r="AN251" s="2" t="str">
        <f t="shared" ca="1" si="21"/>
        <v>30-44 ans</v>
      </c>
      <c r="AO251" s="2" t="str">
        <f t="shared" si="22"/>
        <v>Fully Meets</v>
      </c>
      <c r="AP251" s="2" t="str">
        <f t="shared" si="23"/>
        <v>FAIBLE</v>
      </c>
    </row>
    <row r="252" spans="1:42">
      <c r="A252" s="2" t="s">
        <v>858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s="2" t="s">
        <v>15</v>
      </c>
      <c r="N252" s="2" t="s">
        <v>16</v>
      </c>
      <c r="O252">
        <v>2154</v>
      </c>
      <c r="P252" s="1">
        <v>32423</v>
      </c>
      <c r="Q252" s="2" t="s">
        <v>44</v>
      </c>
      <c r="R252" s="2" t="s">
        <v>31</v>
      </c>
      <c r="S252" s="2" t="s">
        <v>19</v>
      </c>
      <c r="T252" s="2" t="s">
        <v>20</v>
      </c>
      <c r="U252" s="2" t="s">
        <v>71</v>
      </c>
      <c r="V252" s="1">
        <v>41911</v>
      </c>
      <c r="W252" s="1"/>
      <c r="X252" s="2" t="s">
        <v>22</v>
      </c>
      <c r="Y252" s="2" t="s">
        <v>23</v>
      </c>
      <c r="Z252" s="2" t="s">
        <v>24</v>
      </c>
      <c r="AA252" s="2" t="s">
        <v>51</v>
      </c>
      <c r="AB252">
        <v>16</v>
      </c>
      <c r="AC252" s="2" t="s">
        <v>26</v>
      </c>
      <c r="AD252" s="2" t="s">
        <v>39</v>
      </c>
      <c r="AE252" s="2" t="s">
        <v>513</v>
      </c>
      <c r="AF252">
        <v>3</v>
      </c>
      <c r="AG252">
        <v>0</v>
      </c>
      <c r="AH252" t="s">
        <v>78</v>
      </c>
      <c r="AI252">
        <v>0</v>
      </c>
      <c r="AJ252">
        <v>2</v>
      </c>
      <c r="AK252">
        <f t="shared" ca="1" si="18"/>
        <v>37</v>
      </c>
      <c r="AL252">
        <f t="shared" ca="1" si="19"/>
        <v>11</v>
      </c>
      <c r="AM252" t="str">
        <f t="shared" si="20"/>
        <v>Actif</v>
      </c>
      <c r="AN252" s="2" t="str">
        <f t="shared" ca="1" si="21"/>
        <v>30-44 ans</v>
      </c>
      <c r="AO252" s="2" t="str">
        <f t="shared" si="22"/>
        <v>Fully Meets</v>
      </c>
      <c r="AP252" s="2" t="str">
        <f t="shared" si="23"/>
        <v>FAIBLE</v>
      </c>
    </row>
    <row r="253" spans="1:42">
      <c r="A253" s="2" t="s">
        <v>859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s="2" t="s">
        <v>15</v>
      </c>
      <c r="N253" s="2" t="s">
        <v>16</v>
      </c>
      <c r="O253">
        <v>2191</v>
      </c>
      <c r="P253" s="1">
        <v>27670</v>
      </c>
      <c r="Q253" s="2" t="s">
        <v>44</v>
      </c>
      <c r="R253" s="2" t="s">
        <v>18</v>
      </c>
      <c r="S253" s="2" t="s">
        <v>19</v>
      </c>
      <c r="T253" s="2" t="s">
        <v>20</v>
      </c>
      <c r="U253" s="2" t="s">
        <v>111</v>
      </c>
      <c r="V253" s="1">
        <v>41547</v>
      </c>
      <c r="W253" s="1"/>
      <c r="X253" s="2" t="s">
        <v>22</v>
      </c>
      <c r="Y253" s="2" t="s">
        <v>23</v>
      </c>
      <c r="Z253" s="2" t="s">
        <v>24</v>
      </c>
      <c r="AA253" s="2" t="s">
        <v>55</v>
      </c>
      <c r="AC253" s="2" t="s">
        <v>56</v>
      </c>
      <c r="AD253" s="2" t="s">
        <v>39</v>
      </c>
      <c r="AE253" s="2" t="s">
        <v>57</v>
      </c>
      <c r="AF253">
        <v>5</v>
      </c>
      <c r="AG253">
        <v>0</v>
      </c>
      <c r="AH253">
        <v>43618</v>
      </c>
      <c r="AI253">
        <v>0</v>
      </c>
      <c r="AJ253">
        <v>14</v>
      </c>
      <c r="AK253">
        <f t="shared" ca="1" si="18"/>
        <v>50</v>
      </c>
      <c r="AL253">
        <f t="shared" ca="1" si="19"/>
        <v>12</v>
      </c>
      <c r="AM253" t="str">
        <f t="shared" si="20"/>
        <v>Actif</v>
      </c>
      <c r="AN253" s="2" t="str">
        <f t="shared" ca="1" si="21"/>
        <v>45-59 ans</v>
      </c>
      <c r="AO253" s="2" t="str">
        <f t="shared" si="22"/>
        <v>Fully Meets</v>
      </c>
      <c r="AP253" s="2" t="str">
        <f t="shared" si="23"/>
        <v>SURVEILLER</v>
      </c>
    </row>
    <row r="254" spans="1:42">
      <c r="A254" s="2" t="s">
        <v>860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s="2" t="s">
        <v>281</v>
      </c>
      <c r="N254" s="2" t="s">
        <v>16</v>
      </c>
      <c r="O254">
        <v>1773</v>
      </c>
      <c r="P254" s="1">
        <v>29690</v>
      </c>
      <c r="Q254" s="2" t="s">
        <v>44</v>
      </c>
      <c r="R254" s="2" t="s">
        <v>31</v>
      </c>
      <c r="S254" s="2" t="s">
        <v>19</v>
      </c>
      <c r="T254" s="2" t="s">
        <v>20</v>
      </c>
      <c r="U254" s="2" t="s">
        <v>21</v>
      </c>
      <c r="V254" s="1">
        <v>41912</v>
      </c>
      <c r="W254" s="1"/>
      <c r="X254" s="2" t="s">
        <v>22</v>
      </c>
      <c r="Y254" s="2" t="s">
        <v>23</v>
      </c>
      <c r="Z254" s="2" t="s">
        <v>36</v>
      </c>
      <c r="AA254" s="2" t="s">
        <v>77</v>
      </c>
      <c r="AB254">
        <v>7</v>
      </c>
      <c r="AC254" s="2" t="s">
        <v>26</v>
      </c>
      <c r="AD254" s="2" t="s">
        <v>39</v>
      </c>
      <c r="AE254" s="2" t="s">
        <v>516</v>
      </c>
      <c r="AF254">
        <v>3</v>
      </c>
      <c r="AG254">
        <v>6</v>
      </c>
      <c r="AH254">
        <v>43647</v>
      </c>
      <c r="AI254">
        <v>0</v>
      </c>
      <c r="AJ254">
        <v>7</v>
      </c>
      <c r="AK254">
        <f t="shared" ca="1" si="18"/>
        <v>44</v>
      </c>
      <c r="AL254">
        <f t="shared" ca="1" si="19"/>
        <v>11</v>
      </c>
      <c r="AM254" t="str">
        <f t="shared" si="20"/>
        <v>Actif</v>
      </c>
      <c r="AN254" s="2" t="str">
        <f t="shared" ca="1" si="21"/>
        <v>30-44 ans</v>
      </c>
      <c r="AO254" s="2" t="str">
        <f t="shared" si="22"/>
        <v>Fully Meets</v>
      </c>
      <c r="AP254" s="2" t="str">
        <f t="shared" si="23"/>
        <v>FAIBLE</v>
      </c>
    </row>
    <row r="255" spans="1:42">
      <c r="A255" s="2" t="s">
        <v>861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s="2" t="s">
        <v>15</v>
      </c>
      <c r="N255" s="2" t="s">
        <v>16</v>
      </c>
      <c r="O255">
        <v>2149</v>
      </c>
      <c r="P255" s="1">
        <v>31283</v>
      </c>
      <c r="Q255" s="2" t="s">
        <v>44</v>
      </c>
      <c r="R255" s="2" t="s">
        <v>31</v>
      </c>
      <c r="S255" s="2" t="s">
        <v>19</v>
      </c>
      <c r="T255" s="2" t="s">
        <v>20</v>
      </c>
      <c r="U255" s="2" t="s">
        <v>21</v>
      </c>
      <c r="V255" s="1">
        <v>41505</v>
      </c>
      <c r="W255" s="1"/>
      <c r="X255" s="2" t="s">
        <v>22</v>
      </c>
      <c r="Y255" s="2" t="s">
        <v>23</v>
      </c>
      <c r="Z255" s="2" t="s">
        <v>24</v>
      </c>
      <c r="AA255" s="2" t="s">
        <v>59</v>
      </c>
      <c r="AB255">
        <v>11</v>
      </c>
      <c r="AC255" s="2" t="s">
        <v>26</v>
      </c>
      <c r="AD255" s="2" t="s">
        <v>39</v>
      </c>
      <c r="AE255" s="2" t="s">
        <v>518</v>
      </c>
      <c r="AF255">
        <v>4</v>
      </c>
      <c r="AG255">
        <v>0</v>
      </c>
      <c r="AH255" t="s">
        <v>324</v>
      </c>
      <c r="AI255">
        <v>0</v>
      </c>
      <c r="AJ255">
        <v>15</v>
      </c>
      <c r="AK255">
        <f t="shared" ca="1" si="18"/>
        <v>40</v>
      </c>
      <c r="AL255">
        <f t="shared" ca="1" si="19"/>
        <v>12</v>
      </c>
      <c r="AM255" t="str">
        <f t="shared" si="20"/>
        <v>Actif</v>
      </c>
      <c r="AN255" s="2" t="str">
        <f t="shared" ca="1" si="21"/>
        <v>30-44 ans</v>
      </c>
      <c r="AO255" s="2" t="str">
        <f t="shared" si="22"/>
        <v>Fully Meets</v>
      </c>
      <c r="AP255" s="2" t="str">
        <f t="shared" si="23"/>
        <v>SURVEILLER</v>
      </c>
    </row>
    <row r="256" spans="1:42">
      <c r="A256" s="2" t="s">
        <v>862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s="2" t="s">
        <v>87</v>
      </c>
      <c r="N256" s="2" t="s">
        <v>16</v>
      </c>
      <c r="O256">
        <v>2110</v>
      </c>
      <c r="P256" s="1">
        <v>25782</v>
      </c>
      <c r="Q256" s="2" t="s">
        <v>17</v>
      </c>
      <c r="R256" s="2" t="s">
        <v>31</v>
      </c>
      <c r="S256" s="2" t="s">
        <v>19</v>
      </c>
      <c r="T256" s="2" t="s">
        <v>79</v>
      </c>
      <c r="U256" s="2" t="s">
        <v>21</v>
      </c>
      <c r="V256" s="1">
        <v>42125</v>
      </c>
      <c r="W256" s="1"/>
      <c r="X256" s="2" t="s">
        <v>22</v>
      </c>
      <c r="Y256" s="2" t="s">
        <v>23</v>
      </c>
      <c r="Z256" s="2" t="s">
        <v>36</v>
      </c>
      <c r="AA256" s="2" t="s">
        <v>37</v>
      </c>
      <c r="AB256">
        <v>4</v>
      </c>
      <c r="AC256" s="2" t="s">
        <v>69</v>
      </c>
      <c r="AD256" s="2" t="s">
        <v>39</v>
      </c>
      <c r="AE256" s="2" t="s">
        <v>519</v>
      </c>
      <c r="AF256">
        <v>3</v>
      </c>
      <c r="AG256">
        <v>7</v>
      </c>
      <c r="AH256" t="s">
        <v>104</v>
      </c>
      <c r="AI256">
        <v>0</v>
      </c>
      <c r="AJ256">
        <v>16</v>
      </c>
      <c r="AK256">
        <f t="shared" ca="1" si="18"/>
        <v>55</v>
      </c>
      <c r="AL256">
        <f t="shared" ca="1" si="19"/>
        <v>10</v>
      </c>
      <c r="AM256" t="str">
        <f t="shared" si="20"/>
        <v>Actif</v>
      </c>
      <c r="AN256" s="2" t="str">
        <f t="shared" ca="1" si="21"/>
        <v>45-59 ans</v>
      </c>
      <c r="AO256" s="2" t="str">
        <f t="shared" si="22"/>
        <v>Fully Meets</v>
      </c>
      <c r="AP256" s="2" t="str">
        <f t="shared" si="23"/>
        <v>SURVEILLER</v>
      </c>
    </row>
    <row r="257" spans="1:42">
      <c r="A257" s="2" t="s">
        <v>863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s="2" t="s">
        <v>351</v>
      </c>
      <c r="N257" s="2" t="s">
        <v>16</v>
      </c>
      <c r="O257">
        <v>2330</v>
      </c>
      <c r="P257" s="1">
        <v>32282</v>
      </c>
      <c r="Q257" s="2" t="s">
        <v>44</v>
      </c>
      <c r="R257" s="2" t="s">
        <v>18</v>
      </c>
      <c r="S257" s="2" t="s">
        <v>19</v>
      </c>
      <c r="T257" s="2" t="s">
        <v>20</v>
      </c>
      <c r="U257" s="2" t="s">
        <v>21</v>
      </c>
      <c r="V257" s="1">
        <v>42009</v>
      </c>
      <c r="W257" s="1"/>
      <c r="X257" s="2" t="s">
        <v>22</v>
      </c>
      <c r="Y257" s="2" t="s">
        <v>23</v>
      </c>
      <c r="Z257" s="2" t="s">
        <v>131</v>
      </c>
      <c r="AA257" s="2" t="s">
        <v>132</v>
      </c>
      <c r="AB257">
        <v>1</v>
      </c>
      <c r="AC257" s="2" t="s">
        <v>244</v>
      </c>
      <c r="AD257" s="2" t="s">
        <v>39</v>
      </c>
      <c r="AE257" s="2" t="s">
        <v>57</v>
      </c>
      <c r="AF257">
        <v>3</v>
      </c>
      <c r="AG257">
        <v>5</v>
      </c>
      <c r="AH257" t="s">
        <v>144</v>
      </c>
      <c r="AI257">
        <v>0</v>
      </c>
      <c r="AJ257">
        <v>2</v>
      </c>
      <c r="AK257">
        <f t="shared" ca="1" si="18"/>
        <v>37</v>
      </c>
      <c r="AL257">
        <f t="shared" ca="1" si="19"/>
        <v>11</v>
      </c>
      <c r="AM257" t="str">
        <f t="shared" si="20"/>
        <v>Actif</v>
      </c>
      <c r="AN257" s="2" t="str">
        <f t="shared" ca="1" si="21"/>
        <v>30-44 ans</v>
      </c>
      <c r="AO257" s="2" t="str">
        <f t="shared" si="22"/>
        <v>Fully Meets</v>
      </c>
      <c r="AP257" s="2" t="str">
        <f t="shared" si="23"/>
        <v>FAIBLE</v>
      </c>
    </row>
    <row r="258" spans="1:42">
      <c r="A258" s="2" t="s">
        <v>864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s="2" t="s">
        <v>42</v>
      </c>
      <c r="N258" s="2" t="s">
        <v>16</v>
      </c>
      <c r="O258">
        <v>1851</v>
      </c>
      <c r="P258" s="1">
        <v>32106</v>
      </c>
      <c r="Q258" s="2" t="s">
        <v>44</v>
      </c>
      <c r="R258" s="2" t="s">
        <v>18</v>
      </c>
      <c r="S258" s="2" t="s">
        <v>19</v>
      </c>
      <c r="T258" s="2" t="s">
        <v>20</v>
      </c>
      <c r="U258" s="2" t="s">
        <v>21</v>
      </c>
      <c r="V258" s="1">
        <v>40112</v>
      </c>
      <c r="W258" s="1">
        <v>42220</v>
      </c>
      <c r="X258" s="2" t="s">
        <v>370</v>
      </c>
      <c r="Y258" s="2" t="s">
        <v>35</v>
      </c>
      <c r="Z258" s="2" t="s">
        <v>24</v>
      </c>
      <c r="AA258" s="2" t="s">
        <v>25</v>
      </c>
      <c r="AB258">
        <v>22</v>
      </c>
      <c r="AC258" s="2" t="s">
        <v>117</v>
      </c>
      <c r="AD258" s="2" t="s">
        <v>39</v>
      </c>
      <c r="AE258" s="2" t="s">
        <v>523</v>
      </c>
      <c r="AF258">
        <v>4</v>
      </c>
      <c r="AG258">
        <v>0</v>
      </c>
      <c r="AH258">
        <v>42039</v>
      </c>
      <c r="AI258">
        <v>0</v>
      </c>
      <c r="AJ258">
        <v>20</v>
      </c>
      <c r="AK258">
        <f t="shared" ref="AK258:AK312" ca="1" si="24">DATEDIF(P258, TODAY(), "Y")</f>
        <v>38</v>
      </c>
      <c r="AL258">
        <f t="shared" ref="AL258:AL312" ca="1" si="25">INT((IF(K258=0, TODAY(), W258) - V258) / 365.25)</f>
        <v>5</v>
      </c>
      <c r="AM258" t="str">
        <f t="shared" ref="AM258:AM312" si="26">IF(K258=0, "Actif", IF(OR(X258="Another position", X258="more money", X258="unhappy", X258="career change", X258="return to school", X258="relocation out of area", X258="medical issues", X258="military", X258="retiring"), "Volontaire", "Involontaire"))</f>
        <v>Involontaire</v>
      </c>
      <c r="AN258" s="2" t="str">
        <f t="shared" ref="AN258:AN312" ca="1" si="27">IF(AK258&lt;30, "Moins de 30", IF(AK258&lt;45, "30-44 ans", IF(AK258&lt;60, "45-59 ans", "60 ans et plus")))</f>
        <v>30-44 ans</v>
      </c>
      <c r="AO258" s="2" t="str">
        <f t="shared" ref="AO258:AO312" si="28">IF(H258=1, "PIP", IF(H258=2, "Needs Improvement", IF(H258=3, "Fully Meets", IF(H258=4, "Exceeds", "Non défini"))))</f>
        <v>Fully Meets</v>
      </c>
      <c r="AP258" s="2" t="str">
        <f t="shared" ref="AP258:AP312" si="29">IF(AND(AE258&lt;3, AF258&lt;3, AJ258&gt;15), "CRITIQUE", IF(OR(AE258&lt;3, AJ258&gt;10), "SURVEILLER", "FAIBLE"))</f>
        <v>SURVEILLER</v>
      </c>
    </row>
    <row r="259" spans="1:42">
      <c r="A259" s="2" t="s">
        <v>865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s="2" t="s">
        <v>42</v>
      </c>
      <c r="N259" s="2" t="s">
        <v>16</v>
      </c>
      <c r="O259">
        <v>2045</v>
      </c>
      <c r="P259" s="1">
        <v>23314</v>
      </c>
      <c r="Q259" s="2" t="s">
        <v>17</v>
      </c>
      <c r="R259" s="2" t="s">
        <v>18</v>
      </c>
      <c r="S259" s="2" t="s">
        <v>19</v>
      </c>
      <c r="T259" s="2" t="s">
        <v>20</v>
      </c>
      <c r="U259" s="2" t="s">
        <v>21</v>
      </c>
      <c r="V259" s="1">
        <v>41911</v>
      </c>
      <c r="W259" s="1"/>
      <c r="X259" s="2" t="s">
        <v>22</v>
      </c>
      <c r="Y259" s="2" t="s">
        <v>23</v>
      </c>
      <c r="Z259" s="2" t="s">
        <v>24</v>
      </c>
      <c r="AA259" s="2" t="s">
        <v>51</v>
      </c>
      <c r="AB259">
        <v>16</v>
      </c>
      <c r="AC259" s="2" t="s">
        <v>38</v>
      </c>
      <c r="AD259" s="2" t="s">
        <v>27</v>
      </c>
      <c r="AE259" s="2" t="s">
        <v>187</v>
      </c>
      <c r="AF259">
        <v>3</v>
      </c>
      <c r="AG259">
        <v>0</v>
      </c>
      <c r="AH259" t="s">
        <v>213</v>
      </c>
      <c r="AI259">
        <v>0</v>
      </c>
      <c r="AJ259">
        <v>4</v>
      </c>
      <c r="AK259">
        <f t="shared" ca="1" si="24"/>
        <v>62</v>
      </c>
      <c r="AL259">
        <f t="shared" ca="1" si="25"/>
        <v>11</v>
      </c>
      <c r="AM259" t="str">
        <f t="shared" si="26"/>
        <v>Actif</v>
      </c>
      <c r="AN259" s="2" t="str">
        <f t="shared" ca="1" si="27"/>
        <v>60 ans et plus</v>
      </c>
      <c r="AO259" s="2" t="str">
        <f t="shared" si="28"/>
        <v>Exceeds</v>
      </c>
      <c r="AP259" s="2" t="str">
        <f t="shared" si="29"/>
        <v>FAIBLE</v>
      </c>
    </row>
    <row r="260" spans="1:42">
      <c r="A260" s="2" t="s">
        <v>866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s="2" t="s">
        <v>215</v>
      </c>
      <c r="N260" s="2" t="s">
        <v>16</v>
      </c>
      <c r="O260">
        <v>1886</v>
      </c>
      <c r="P260" s="1">
        <v>30910</v>
      </c>
      <c r="Q260" s="2" t="s">
        <v>17</v>
      </c>
      <c r="R260" s="2" t="s">
        <v>53</v>
      </c>
      <c r="S260" s="2" t="s">
        <v>19</v>
      </c>
      <c r="T260" s="2" t="s">
        <v>20</v>
      </c>
      <c r="U260" s="2" t="s">
        <v>71</v>
      </c>
      <c r="V260" s="1">
        <v>41777</v>
      </c>
      <c r="W260" s="1"/>
      <c r="X260" s="2" t="s">
        <v>22</v>
      </c>
      <c r="Y260" s="2" t="s">
        <v>23</v>
      </c>
      <c r="Z260" s="2" t="s">
        <v>154</v>
      </c>
      <c r="AA260" s="2" t="s">
        <v>217</v>
      </c>
      <c r="AB260">
        <v>15</v>
      </c>
      <c r="AC260" s="2" t="s">
        <v>73</v>
      </c>
      <c r="AD260" s="2" t="s">
        <v>118</v>
      </c>
      <c r="AE260" s="2" t="s">
        <v>462</v>
      </c>
      <c r="AF260">
        <v>4</v>
      </c>
      <c r="AG260">
        <v>0</v>
      </c>
      <c r="AH260" t="s">
        <v>300</v>
      </c>
      <c r="AI260">
        <v>2</v>
      </c>
      <c r="AJ260">
        <v>16</v>
      </c>
      <c r="AK260">
        <f t="shared" ca="1" si="24"/>
        <v>41</v>
      </c>
      <c r="AL260">
        <f t="shared" ca="1" si="25"/>
        <v>11</v>
      </c>
      <c r="AM260" t="str">
        <f t="shared" si="26"/>
        <v>Actif</v>
      </c>
      <c r="AN260" s="2" t="str">
        <f t="shared" ca="1" si="27"/>
        <v>30-44 ans</v>
      </c>
      <c r="AO260" s="2" t="str">
        <f t="shared" si="28"/>
        <v>Needs Improvement</v>
      </c>
      <c r="AP260" s="2" t="str">
        <f t="shared" si="29"/>
        <v>SURVEILLER</v>
      </c>
    </row>
    <row r="261" spans="1:42">
      <c r="A261" s="2" t="s">
        <v>867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s="2" t="s">
        <v>351</v>
      </c>
      <c r="N261" s="2" t="s">
        <v>16</v>
      </c>
      <c r="O261">
        <v>1844</v>
      </c>
      <c r="P261" s="1">
        <v>31942</v>
      </c>
      <c r="Q261" s="2" t="s">
        <v>44</v>
      </c>
      <c r="R261" s="2" t="s">
        <v>31</v>
      </c>
      <c r="S261" s="2" t="s">
        <v>19</v>
      </c>
      <c r="T261" s="2" t="s">
        <v>20</v>
      </c>
      <c r="U261" s="2" t="s">
        <v>71</v>
      </c>
      <c r="V261" s="1">
        <v>40812</v>
      </c>
      <c r="W261" s="1">
        <v>41542</v>
      </c>
      <c r="X261" s="2" t="s">
        <v>34</v>
      </c>
      <c r="Y261" s="2" t="s">
        <v>35</v>
      </c>
      <c r="Z261" s="2" t="s">
        <v>131</v>
      </c>
      <c r="AA261" s="2" t="s">
        <v>132</v>
      </c>
      <c r="AB261">
        <v>1</v>
      </c>
      <c r="AC261" s="2" t="s">
        <v>73</v>
      </c>
      <c r="AD261" s="2" t="s">
        <v>39</v>
      </c>
      <c r="AE261" s="2" t="s">
        <v>178</v>
      </c>
      <c r="AF261">
        <v>4</v>
      </c>
      <c r="AG261">
        <v>4</v>
      </c>
      <c r="AH261" t="s">
        <v>528</v>
      </c>
      <c r="AI261">
        <v>0</v>
      </c>
      <c r="AJ261">
        <v>17</v>
      </c>
      <c r="AK261">
        <f t="shared" ca="1" si="24"/>
        <v>38</v>
      </c>
      <c r="AL261">
        <f t="shared" ca="1" si="25"/>
        <v>1</v>
      </c>
      <c r="AM261" t="str">
        <f t="shared" si="26"/>
        <v>Volontaire</v>
      </c>
      <c r="AN261" s="2" t="str">
        <f t="shared" ca="1" si="27"/>
        <v>30-44 ans</v>
      </c>
      <c r="AO261" s="2" t="str">
        <f t="shared" si="28"/>
        <v>Fully Meets</v>
      </c>
      <c r="AP261" s="2" t="str">
        <f t="shared" si="29"/>
        <v>SURVEILLER</v>
      </c>
    </row>
    <row r="262" spans="1:42">
      <c r="A262" s="2" t="s">
        <v>868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s="2" t="s">
        <v>15</v>
      </c>
      <c r="N262" s="2" t="s">
        <v>16</v>
      </c>
      <c r="O262">
        <v>2130</v>
      </c>
      <c r="P262" s="1">
        <v>23775</v>
      </c>
      <c r="Q262" s="2" t="s">
        <v>44</v>
      </c>
      <c r="R262" s="2" t="s">
        <v>18</v>
      </c>
      <c r="S262" s="2" t="s">
        <v>19</v>
      </c>
      <c r="T262" s="2" t="s">
        <v>20</v>
      </c>
      <c r="U262" s="2" t="s">
        <v>21</v>
      </c>
      <c r="V262" s="1">
        <v>41589</v>
      </c>
      <c r="W262" s="1"/>
      <c r="X262" s="2" t="s">
        <v>22</v>
      </c>
      <c r="Y262" s="2" t="s">
        <v>23</v>
      </c>
      <c r="Z262" s="2" t="s">
        <v>24</v>
      </c>
      <c r="AA262" s="2" t="s">
        <v>68</v>
      </c>
      <c r="AB262">
        <v>19</v>
      </c>
      <c r="AC262" s="2" t="s">
        <v>69</v>
      </c>
      <c r="AD262" s="2" t="s">
        <v>39</v>
      </c>
      <c r="AE262" s="2" t="s">
        <v>299</v>
      </c>
      <c r="AF262">
        <v>3</v>
      </c>
      <c r="AG262">
        <v>0</v>
      </c>
      <c r="AH262" t="s">
        <v>219</v>
      </c>
      <c r="AI262">
        <v>0</v>
      </c>
      <c r="AJ262">
        <v>16</v>
      </c>
      <c r="AK262">
        <f t="shared" ca="1" si="24"/>
        <v>61</v>
      </c>
      <c r="AL262">
        <f t="shared" ca="1" si="25"/>
        <v>12</v>
      </c>
      <c r="AM262" t="str">
        <f t="shared" si="26"/>
        <v>Actif</v>
      </c>
      <c r="AN262" s="2" t="str">
        <f t="shared" ca="1" si="27"/>
        <v>60 ans et plus</v>
      </c>
      <c r="AO262" s="2" t="str">
        <f t="shared" si="28"/>
        <v>Fully Meets</v>
      </c>
      <c r="AP262" s="2" t="str">
        <f t="shared" si="29"/>
        <v>SURVEILLER</v>
      </c>
    </row>
    <row r="263" spans="1:42">
      <c r="A263" s="2" t="s">
        <v>869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s="2" t="s">
        <v>76</v>
      </c>
      <c r="N263" s="2" t="s">
        <v>16</v>
      </c>
      <c r="O263">
        <v>2360</v>
      </c>
      <c r="P263" s="1">
        <v>27001</v>
      </c>
      <c r="Q263" s="2" t="s">
        <v>44</v>
      </c>
      <c r="R263" s="2" t="s">
        <v>31</v>
      </c>
      <c r="S263" s="2" t="s">
        <v>19</v>
      </c>
      <c r="T263" s="2" t="s">
        <v>20</v>
      </c>
      <c r="U263" s="2" t="s">
        <v>71</v>
      </c>
      <c r="V263" s="1">
        <v>40822</v>
      </c>
      <c r="W263" s="1"/>
      <c r="X263" s="2" t="s">
        <v>22</v>
      </c>
      <c r="Y263" s="2" t="s">
        <v>23</v>
      </c>
      <c r="Z263" s="2" t="s">
        <v>36</v>
      </c>
      <c r="AA263" s="2" t="s">
        <v>191</v>
      </c>
      <c r="AB263">
        <v>6</v>
      </c>
      <c r="AC263" s="2" t="s">
        <v>26</v>
      </c>
      <c r="AD263" s="2" t="s">
        <v>39</v>
      </c>
      <c r="AE263" s="2" t="s">
        <v>187</v>
      </c>
      <c r="AF263">
        <v>3</v>
      </c>
      <c r="AG263">
        <v>5</v>
      </c>
      <c r="AH263">
        <v>43679</v>
      </c>
      <c r="AI263">
        <v>0</v>
      </c>
      <c r="AJ263">
        <v>19</v>
      </c>
      <c r="AK263">
        <f t="shared" ca="1" si="24"/>
        <v>52</v>
      </c>
      <c r="AL263">
        <f t="shared" ca="1" si="25"/>
        <v>14</v>
      </c>
      <c r="AM263" t="str">
        <f t="shared" si="26"/>
        <v>Actif</v>
      </c>
      <c r="AN263" s="2" t="str">
        <f t="shared" ca="1" si="27"/>
        <v>45-59 ans</v>
      </c>
      <c r="AO263" s="2" t="str">
        <f t="shared" si="28"/>
        <v>Fully Meets</v>
      </c>
      <c r="AP263" s="2" t="str">
        <f t="shared" si="29"/>
        <v>SURVEILLER</v>
      </c>
    </row>
    <row r="264" spans="1:42">
      <c r="A264" s="2" t="s">
        <v>870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s="2" t="s">
        <v>214</v>
      </c>
      <c r="N264" s="2" t="s">
        <v>16</v>
      </c>
      <c r="O264">
        <v>1545</v>
      </c>
      <c r="P264" s="1">
        <v>30561</v>
      </c>
      <c r="Q264" s="2" t="s">
        <v>17</v>
      </c>
      <c r="R264" s="2" t="s">
        <v>31</v>
      </c>
      <c r="S264" s="2" t="s">
        <v>19</v>
      </c>
      <c r="T264" s="2" t="s">
        <v>20</v>
      </c>
      <c r="U264" s="2" t="s">
        <v>111</v>
      </c>
      <c r="V264" s="1">
        <v>42551</v>
      </c>
      <c r="W264" s="1"/>
      <c r="X264" s="2" t="s">
        <v>22</v>
      </c>
      <c r="Y264" s="2" t="s">
        <v>23</v>
      </c>
      <c r="Z264" s="2" t="s">
        <v>36</v>
      </c>
      <c r="AA264" s="2" t="s">
        <v>77</v>
      </c>
      <c r="AB264">
        <v>7</v>
      </c>
      <c r="AC264" s="2" t="s">
        <v>26</v>
      </c>
      <c r="AD264" s="2" t="s">
        <v>39</v>
      </c>
      <c r="AE264" s="2" t="s">
        <v>529</v>
      </c>
      <c r="AF264">
        <v>4</v>
      </c>
      <c r="AG264">
        <v>5</v>
      </c>
      <c r="AH264" t="s">
        <v>104</v>
      </c>
      <c r="AI264">
        <v>0</v>
      </c>
      <c r="AJ264">
        <v>13</v>
      </c>
      <c r="AK264">
        <f t="shared" ca="1" si="24"/>
        <v>42</v>
      </c>
      <c r="AL264">
        <f t="shared" ca="1" si="25"/>
        <v>9</v>
      </c>
      <c r="AM264" t="str">
        <f t="shared" si="26"/>
        <v>Actif</v>
      </c>
      <c r="AN264" s="2" t="str">
        <f t="shared" ca="1" si="27"/>
        <v>30-44 ans</v>
      </c>
      <c r="AO264" s="2" t="str">
        <f t="shared" si="28"/>
        <v>Fully Meets</v>
      </c>
      <c r="AP264" s="2" t="str">
        <f t="shared" si="29"/>
        <v>SURVEILLER</v>
      </c>
    </row>
    <row r="265" spans="1:42">
      <c r="A265" s="2" t="s">
        <v>871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s="2" t="s">
        <v>15</v>
      </c>
      <c r="N265" s="2" t="s">
        <v>16</v>
      </c>
      <c r="O265">
        <v>2093</v>
      </c>
      <c r="P265" s="1">
        <v>25039</v>
      </c>
      <c r="Q265" s="2" t="s">
        <v>44</v>
      </c>
      <c r="R265" s="2" t="s">
        <v>31</v>
      </c>
      <c r="S265" s="2" t="s">
        <v>19</v>
      </c>
      <c r="T265" s="2" t="s">
        <v>20</v>
      </c>
      <c r="U265" s="2" t="s">
        <v>21</v>
      </c>
      <c r="V265" s="1">
        <v>40959</v>
      </c>
      <c r="W265" s="1"/>
      <c r="X265" s="2" t="s">
        <v>22</v>
      </c>
      <c r="Y265" s="2" t="s">
        <v>23</v>
      </c>
      <c r="Z265" s="2" t="s">
        <v>24</v>
      </c>
      <c r="AA265" s="2" t="s">
        <v>72</v>
      </c>
      <c r="AB265">
        <v>12</v>
      </c>
      <c r="AC265" s="2" t="s">
        <v>38</v>
      </c>
      <c r="AD265" s="2" t="s">
        <v>230</v>
      </c>
      <c r="AE265" s="2" t="s">
        <v>462</v>
      </c>
      <c r="AF265">
        <v>2</v>
      </c>
      <c r="AG265">
        <v>1</v>
      </c>
      <c r="AH265" t="s">
        <v>70</v>
      </c>
      <c r="AI265">
        <v>6</v>
      </c>
      <c r="AJ265">
        <v>20</v>
      </c>
      <c r="AK265">
        <f t="shared" ca="1" si="24"/>
        <v>57</v>
      </c>
      <c r="AL265">
        <f t="shared" ca="1" si="25"/>
        <v>14</v>
      </c>
      <c r="AM265" t="str">
        <f t="shared" si="26"/>
        <v>Actif</v>
      </c>
      <c r="AN265" s="2" t="str">
        <f t="shared" ca="1" si="27"/>
        <v>45-59 ans</v>
      </c>
      <c r="AO265" s="2" t="str">
        <f t="shared" si="28"/>
        <v>PIP</v>
      </c>
      <c r="AP265" s="2" t="str">
        <f t="shared" si="29"/>
        <v>SURVEILLER</v>
      </c>
    </row>
    <row r="266" spans="1:42">
      <c r="A266" s="2" t="s">
        <v>872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s="2" t="s">
        <v>133</v>
      </c>
      <c r="N266" s="2" t="s">
        <v>16</v>
      </c>
      <c r="O266">
        <v>2451</v>
      </c>
      <c r="P266" s="1">
        <v>27667</v>
      </c>
      <c r="Q266" s="2" t="s">
        <v>44</v>
      </c>
      <c r="R266" s="2" t="s">
        <v>31</v>
      </c>
      <c r="S266" s="2" t="s">
        <v>19</v>
      </c>
      <c r="T266" s="2" t="s">
        <v>20</v>
      </c>
      <c r="U266" s="2" t="s">
        <v>21</v>
      </c>
      <c r="V266" s="1">
        <v>40949</v>
      </c>
      <c r="W266" s="1"/>
      <c r="X266" s="2" t="s">
        <v>22</v>
      </c>
      <c r="Y266" s="2" t="s">
        <v>23</v>
      </c>
      <c r="Z266" s="2" t="s">
        <v>24</v>
      </c>
      <c r="AA266" s="2" t="s">
        <v>135</v>
      </c>
      <c r="AB266">
        <v>2</v>
      </c>
      <c r="AC266" s="2" t="s">
        <v>26</v>
      </c>
      <c r="AD266" s="2" t="s">
        <v>39</v>
      </c>
      <c r="AE266" s="2" t="s">
        <v>379</v>
      </c>
      <c r="AF266">
        <v>5</v>
      </c>
      <c r="AG266">
        <v>0</v>
      </c>
      <c r="AH266" t="s">
        <v>94</v>
      </c>
      <c r="AI266">
        <v>0</v>
      </c>
      <c r="AJ266">
        <v>15</v>
      </c>
      <c r="AK266">
        <f t="shared" ca="1" si="24"/>
        <v>50</v>
      </c>
      <c r="AL266">
        <f t="shared" ca="1" si="25"/>
        <v>14</v>
      </c>
      <c r="AM266" t="str">
        <f t="shared" si="26"/>
        <v>Actif</v>
      </c>
      <c r="AN266" s="2" t="str">
        <f t="shared" ca="1" si="27"/>
        <v>45-59 ans</v>
      </c>
      <c r="AO266" s="2" t="str">
        <f t="shared" si="28"/>
        <v>Fully Meets</v>
      </c>
      <c r="AP266" s="2" t="str">
        <f t="shared" si="29"/>
        <v>SURVEILLER</v>
      </c>
    </row>
    <row r="267" spans="1:42">
      <c r="A267" s="2" t="s">
        <v>873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s="2" t="s">
        <v>15</v>
      </c>
      <c r="N267" s="2" t="s">
        <v>16</v>
      </c>
      <c r="O267">
        <v>2359</v>
      </c>
      <c r="P267" s="1">
        <v>26749</v>
      </c>
      <c r="Q267" s="2" t="s">
        <v>44</v>
      </c>
      <c r="R267" s="2" t="s">
        <v>53</v>
      </c>
      <c r="S267" s="2" t="s">
        <v>19</v>
      </c>
      <c r="T267" s="2" t="s">
        <v>20</v>
      </c>
      <c r="U267" s="2" t="s">
        <v>21</v>
      </c>
      <c r="V267" s="1">
        <v>41407</v>
      </c>
      <c r="W267" s="1">
        <v>42184</v>
      </c>
      <c r="X267" s="2" t="s">
        <v>86</v>
      </c>
      <c r="Y267" s="2" t="s">
        <v>35</v>
      </c>
      <c r="Z267" s="2" t="s">
        <v>24</v>
      </c>
      <c r="AA267" s="2" t="s">
        <v>81</v>
      </c>
      <c r="AB267">
        <v>14</v>
      </c>
      <c r="AC267" s="2" t="s">
        <v>26</v>
      </c>
      <c r="AD267" s="2" t="s">
        <v>27</v>
      </c>
      <c r="AE267" s="2" t="s">
        <v>199</v>
      </c>
      <c r="AF267">
        <v>4</v>
      </c>
      <c r="AG267">
        <v>0</v>
      </c>
      <c r="AH267">
        <v>42038</v>
      </c>
      <c r="AI267">
        <v>0</v>
      </c>
      <c r="AJ267">
        <v>16</v>
      </c>
      <c r="AK267">
        <f t="shared" ca="1" si="24"/>
        <v>53</v>
      </c>
      <c r="AL267">
        <f t="shared" ca="1" si="25"/>
        <v>2</v>
      </c>
      <c r="AM267" t="str">
        <f t="shared" si="26"/>
        <v>Volontaire</v>
      </c>
      <c r="AN267" s="2" t="str">
        <f t="shared" ca="1" si="27"/>
        <v>45-59 ans</v>
      </c>
      <c r="AO267" s="2" t="str">
        <f t="shared" si="28"/>
        <v>Exceeds</v>
      </c>
      <c r="AP267" s="2" t="str">
        <f t="shared" si="29"/>
        <v>SURVEILLER</v>
      </c>
    </row>
    <row r="268" spans="1:42">
      <c r="A268" s="2" t="s">
        <v>874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s="2" t="s">
        <v>15</v>
      </c>
      <c r="N268" s="2" t="s">
        <v>16</v>
      </c>
      <c r="O268">
        <v>2050</v>
      </c>
      <c r="P268" s="1">
        <v>30188</v>
      </c>
      <c r="Q268" s="2" t="s">
        <v>44</v>
      </c>
      <c r="R268" s="2" t="s">
        <v>53</v>
      </c>
      <c r="S268" s="2" t="s">
        <v>19</v>
      </c>
      <c r="T268" s="2" t="s">
        <v>20</v>
      </c>
      <c r="U268" s="2" t="s">
        <v>91</v>
      </c>
      <c r="V268" s="1">
        <v>40817</v>
      </c>
      <c r="W268" s="1"/>
      <c r="X268" s="2" t="s">
        <v>22</v>
      </c>
      <c r="Y268" s="2" t="s">
        <v>23</v>
      </c>
      <c r="Z268" s="2" t="s">
        <v>24</v>
      </c>
      <c r="AA268" s="2" t="s">
        <v>47</v>
      </c>
      <c r="AB268">
        <v>20</v>
      </c>
      <c r="AC268" s="2" t="s">
        <v>56</v>
      </c>
      <c r="AD268" s="2" t="s">
        <v>39</v>
      </c>
      <c r="AE268" s="2" t="s">
        <v>199</v>
      </c>
      <c r="AF268">
        <v>4</v>
      </c>
      <c r="AG268">
        <v>0</v>
      </c>
      <c r="AH268">
        <v>43648</v>
      </c>
      <c r="AI268">
        <v>0</v>
      </c>
      <c r="AJ268">
        <v>9</v>
      </c>
      <c r="AK268">
        <f t="shared" ca="1" si="24"/>
        <v>43</v>
      </c>
      <c r="AL268">
        <f t="shared" ca="1" si="25"/>
        <v>14</v>
      </c>
      <c r="AM268" t="str">
        <f t="shared" si="26"/>
        <v>Actif</v>
      </c>
      <c r="AN268" s="2" t="str">
        <f t="shared" ca="1" si="27"/>
        <v>30-44 ans</v>
      </c>
      <c r="AO268" s="2" t="str">
        <f t="shared" si="28"/>
        <v>Fully Meets</v>
      </c>
      <c r="AP268" s="2" t="str">
        <f t="shared" si="29"/>
        <v>FAIBLE</v>
      </c>
    </row>
    <row r="269" spans="1:42">
      <c r="A269" s="2" t="s">
        <v>875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s="2" t="s">
        <v>151</v>
      </c>
      <c r="N269" s="2" t="s">
        <v>535</v>
      </c>
      <c r="O269">
        <v>89139</v>
      </c>
      <c r="P269" s="1">
        <v>27277</v>
      </c>
      <c r="Q269" s="2" t="s">
        <v>17</v>
      </c>
      <c r="R269" s="2" t="s">
        <v>31</v>
      </c>
      <c r="S269" s="2" t="s">
        <v>19</v>
      </c>
      <c r="T269" s="2" t="s">
        <v>20</v>
      </c>
      <c r="U269" s="2" t="s">
        <v>21</v>
      </c>
      <c r="V269" s="1">
        <v>41978</v>
      </c>
      <c r="W269" s="1"/>
      <c r="X269" s="2" t="s">
        <v>22</v>
      </c>
      <c r="Y269" s="2" t="s">
        <v>23</v>
      </c>
      <c r="Z269" s="2" t="s">
        <v>154</v>
      </c>
      <c r="AA269" s="2" t="s">
        <v>180</v>
      </c>
      <c r="AB269">
        <v>21</v>
      </c>
      <c r="AC269" s="2" t="s">
        <v>244</v>
      </c>
      <c r="AD269" s="2" t="s">
        <v>230</v>
      </c>
      <c r="AE269" s="2" t="s">
        <v>536</v>
      </c>
      <c r="AF269">
        <v>2</v>
      </c>
      <c r="AG269">
        <v>0</v>
      </c>
      <c r="AH269" t="s">
        <v>29</v>
      </c>
      <c r="AI269">
        <v>3</v>
      </c>
      <c r="AJ269">
        <v>5</v>
      </c>
      <c r="AK269">
        <f t="shared" ca="1" si="24"/>
        <v>51</v>
      </c>
      <c r="AL269">
        <f t="shared" ca="1" si="25"/>
        <v>11</v>
      </c>
      <c r="AM269" t="str">
        <f t="shared" si="26"/>
        <v>Actif</v>
      </c>
      <c r="AN269" s="2" t="str">
        <f t="shared" ca="1" si="27"/>
        <v>45-59 ans</v>
      </c>
      <c r="AO269" s="2" t="str">
        <f t="shared" si="28"/>
        <v>PIP</v>
      </c>
      <c r="AP269" s="2" t="str">
        <f t="shared" si="29"/>
        <v>FAIBLE</v>
      </c>
    </row>
    <row r="270" spans="1:42">
      <c r="A270" s="2" t="s">
        <v>876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s="2" t="s">
        <v>141</v>
      </c>
      <c r="N270" s="2" t="s">
        <v>16</v>
      </c>
      <c r="O270">
        <v>2703</v>
      </c>
      <c r="P270" s="1">
        <v>31421</v>
      </c>
      <c r="Q270" s="2" t="s">
        <v>17</v>
      </c>
      <c r="R270" s="2" t="s">
        <v>18</v>
      </c>
      <c r="S270" s="2" t="s">
        <v>19</v>
      </c>
      <c r="T270" s="2" t="s">
        <v>20</v>
      </c>
      <c r="U270" s="2" t="s">
        <v>21</v>
      </c>
      <c r="V270" s="1">
        <v>41911</v>
      </c>
      <c r="W270" s="1"/>
      <c r="X270" s="2" t="s">
        <v>22</v>
      </c>
      <c r="Y270" s="2" t="s">
        <v>23</v>
      </c>
      <c r="Z270" s="2" t="s">
        <v>131</v>
      </c>
      <c r="AA270" s="2" t="s">
        <v>132</v>
      </c>
      <c r="AB270">
        <v>1</v>
      </c>
      <c r="AC270" s="2" t="s">
        <v>38</v>
      </c>
      <c r="AD270" s="2" t="s">
        <v>39</v>
      </c>
      <c r="AE270" s="2" t="s">
        <v>310</v>
      </c>
      <c r="AF270">
        <v>5</v>
      </c>
      <c r="AG270">
        <v>5</v>
      </c>
      <c r="AH270" t="s">
        <v>248</v>
      </c>
      <c r="AI270">
        <v>0</v>
      </c>
      <c r="AJ270">
        <v>9</v>
      </c>
      <c r="AK270">
        <f t="shared" ca="1" si="24"/>
        <v>40</v>
      </c>
      <c r="AL270">
        <f t="shared" ca="1" si="25"/>
        <v>11</v>
      </c>
      <c r="AM270" t="str">
        <f t="shared" si="26"/>
        <v>Actif</v>
      </c>
      <c r="AN270" s="2" t="str">
        <f t="shared" ca="1" si="27"/>
        <v>30-44 ans</v>
      </c>
      <c r="AO270" s="2" t="str">
        <f t="shared" si="28"/>
        <v>Fully Meets</v>
      </c>
      <c r="AP270" s="2" t="str">
        <f t="shared" si="29"/>
        <v>FAIBLE</v>
      </c>
    </row>
    <row r="271" spans="1:42">
      <c r="A271" s="2" t="s">
        <v>877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s="2" t="s">
        <v>15</v>
      </c>
      <c r="N271" s="2" t="s">
        <v>16</v>
      </c>
      <c r="O271">
        <v>2301</v>
      </c>
      <c r="P271" s="1">
        <v>31120</v>
      </c>
      <c r="Q271" s="2" t="s">
        <v>17</v>
      </c>
      <c r="R271" s="2" t="s">
        <v>31</v>
      </c>
      <c r="S271" s="2" t="s">
        <v>19</v>
      </c>
      <c r="T271" s="2" t="s">
        <v>20</v>
      </c>
      <c r="U271" s="2" t="s">
        <v>111</v>
      </c>
      <c r="V271" s="1">
        <v>41687</v>
      </c>
      <c r="W271" s="1"/>
      <c r="X271" s="2" t="s">
        <v>22</v>
      </c>
      <c r="Y271" s="2" t="s">
        <v>23</v>
      </c>
      <c r="Z271" s="2" t="s">
        <v>24</v>
      </c>
      <c r="AA271" s="2" t="s">
        <v>93</v>
      </c>
      <c r="AB271">
        <v>18</v>
      </c>
      <c r="AC271" s="2" t="s">
        <v>26</v>
      </c>
      <c r="AD271" s="2" t="s">
        <v>39</v>
      </c>
      <c r="AE271" s="2" t="s">
        <v>192</v>
      </c>
      <c r="AF271">
        <v>3</v>
      </c>
      <c r="AG271">
        <v>0</v>
      </c>
      <c r="AH271">
        <v>43770</v>
      </c>
      <c r="AI271">
        <v>0</v>
      </c>
      <c r="AJ271">
        <v>4</v>
      </c>
      <c r="AK271">
        <f t="shared" ca="1" si="24"/>
        <v>41</v>
      </c>
      <c r="AL271">
        <f t="shared" ca="1" si="25"/>
        <v>12</v>
      </c>
      <c r="AM271" t="str">
        <f t="shared" si="26"/>
        <v>Actif</v>
      </c>
      <c r="AN271" s="2" t="str">
        <f t="shared" ca="1" si="27"/>
        <v>30-44 ans</v>
      </c>
      <c r="AO271" s="2" t="str">
        <f t="shared" si="28"/>
        <v>Fully Meets</v>
      </c>
      <c r="AP271" s="2" t="str">
        <f t="shared" si="29"/>
        <v>FAIBLE</v>
      </c>
    </row>
    <row r="272" spans="1:42">
      <c r="A272" s="2" t="s">
        <v>878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s="2" t="s">
        <v>151</v>
      </c>
      <c r="N272" s="2" t="s">
        <v>538</v>
      </c>
      <c r="O272">
        <v>59102</v>
      </c>
      <c r="P272" s="1">
        <v>32847</v>
      </c>
      <c r="Q272" s="2" t="s">
        <v>44</v>
      </c>
      <c r="R272" s="2" t="s">
        <v>31</v>
      </c>
      <c r="S272" s="2" t="s">
        <v>19</v>
      </c>
      <c r="T272" s="2" t="s">
        <v>20</v>
      </c>
      <c r="U272" s="2" t="s">
        <v>71</v>
      </c>
      <c r="V272" s="1">
        <v>40448</v>
      </c>
      <c r="W272" s="1"/>
      <c r="X272" s="2" t="s">
        <v>22</v>
      </c>
      <c r="Y272" s="2" t="s">
        <v>23</v>
      </c>
      <c r="Z272" s="2" t="s">
        <v>154</v>
      </c>
      <c r="AA272" s="2" t="s">
        <v>155</v>
      </c>
      <c r="AB272">
        <v>17</v>
      </c>
      <c r="AC272" s="2" t="s">
        <v>38</v>
      </c>
      <c r="AD272" s="2" t="s">
        <v>39</v>
      </c>
      <c r="AE272" s="2" t="s">
        <v>199</v>
      </c>
      <c r="AF272">
        <v>4</v>
      </c>
      <c r="AG272">
        <v>0</v>
      </c>
      <c r="AH272" t="s">
        <v>226</v>
      </c>
      <c r="AI272">
        <v>0</v>
      </c>
      <c r="AJ272">
        <v>18</v>
      </c>
      <c r="AK272">
        <f t="shared" ca="1" si="24"/>
        <v>36</v>
      </c>
      <c r="AL272">
        <f t="shared" ca="1" si="25"/>
        <v>15</v>
      </c>
      <c r="AM272" t="str">
        <f t="shared" si="26"/>
        <v>Actif</v>
      </c>
      <c r="AN272" s="2" t="str">
        <f t="shared" ca="1" si="27"/>
        <v>30-44 ans</v>
      </c>
      <c r="AO272" s="2" t="str">
        <f t="shared" si="28"/>
        <v>Fully Meets</v>
      </c>
      <c r="AP272" s="2" t="str">
        <f t="shared" si="29"/>
        <v>SURVEILLER</v>
      </c>
    </row>
    <row r="273" spans="1:42">
      <c r="A273" s="2" t="s">
        <v>879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s="2" t="s">
        <v>133</v>
      </c>
      <c r="N273" s="2" t="s">
        <v>16</v>
      </c>
      <c r="O273">
        <v>1776</v>
      </c>
      <c r="P273" s="1">
        <v>28577</v>
      </c>
      <c r="Q273" s="2" t="s">
        <v>44</v>
      </c>
      <c r="R273" s="2" t="s">
        <v>31</v>
      </c>
      <c r="S273" s="2" t="s">
        <v>19</v>
      </c>
      <c r="T273" s="2" t="s">
        <v>20</v>
      </c>
      <c r="U273" s="2" t="s">
        <v>71</v>
      </c>
      <c r="V273" s="1">
        <v>40026</v>
      </c>
      <c r="W273" s="1"/>
      <c r="X273" s="2" t="s">
        <v>22</v>
      </c>
      <c r="Y273" s="2" t="s">
        <v>23</v>
      </c>
      <c r="Z273" s="2" t="s">
        <v>24</v>
      </c>
      <c r="AA273" s="2" t="s">
        <v>135</v>
      </c>
      <c r="AB273">
        <v>2</v>
      </c>
      <c r="AC273" s="2" t="s">
        <v>38</v>
      </c>
      <c r="AD273" s="2" t="s">
        <v>39</v>
      </c>
      <c r="AE273" s="2" t="s">
        <v>299</v>
      </c>
      <c r="AF273">
        <v>4</v>
      </c>
      <c r="AG273">
        <v>0</v>
      </c>
      <c r="AH273" t="s">
        <v>219</v>
      </c>
      <c r="AI273">
        <v>0</v>
      </c>
      <c r="AJ273">
        <v>12</v>
      </c>
      <c r="AK273">
        <f t="shared" ca="1" si="24"/>
        <v>48</v>
      </c>
      <c r="AL273">
        <f t="shared" ca="1" si="25"/>
        <v>16</v>
      </c>
      <c r="AM273" t="str">
        <f t="shared" si="26"/>
        <v>Actif</v>
      </c>
      <c r="AN273" s="2" t="str">
        <f t="shared" ca="1" si="27"/>
        <v>45-59 ans</v>
      </c>
      <c r="AO273" s="2" t="str">
        <f t="shared" si="28"/>
        <v>Fully Meets</v>
      </c>
      <c r="AP273" s="2" t="str">
        <f t="shared" si="29"/>
        <v>SURVEILLER</v>
      </c>
    </row>
    <row r="274" spans="1:42">
      <c r="A274" s="2" t="s">
        <v>880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s="2" t="s">
        <v>15</v>
      </c>
      <c r="N274" s="2" t="s">
        <v>16</v>
      </c>
      <c r="O274">
        <v>2747</v>
      </c>
      <c r="P274" s="1">
        <v>30142</v>
      </c>
      <c r="Q274" s="2" t="s">
        <v>17</v>
      </c>
      <c r="R274" s="2" t="s">
        <v>31</v>
      </c>
      <c r="S274" s="2" t="s">
        <v>19</v>
      </c>
      <c r="T274" s="2" t="s">
        <v>79</v>
      </c>
      <c r="U274" s="2" t="s">
        <v>21</v>
      </c>
      <c r="V274" s="1">
        <v>42125</v>
      </c>
      <c r="W274" s="1"/>
      <c r="X274" s="2" t="s">
        <v>22</v>
      </c>
      <c r="Y274" s="2" t="s">
        <v>23</v>
      </c>
      <c r="Z274" s="2" t="s">
        <v>24</v>
      </c>
      <c r="AA274" s="2" t="s">
        <v>25</v>
      </c>
      <c r="AB274">
        <v>22</v>
      </c>
      <c r="AC274" s="2" t="s">
        <v>56</v>
      </c>
      <c r="AD274" s="2" t="s">
        <v>39</v>
      </c>
      <c r="AE274" s="2" t="s">
        <v>489</v>
      </c>
      <c r="AF274">
        <v>5</v>
      </c>
      <c r="AG274">
        <v>0</v>
      </c>
      <c r="AH274" t="s">
        <v>219</v>
      </c>
      <c r="AI274">
        <v>0</v>
      </c>
      <c r="AJ274">
        <v>10</v>
      </c>
      <c r="AK274">
        <f t="shared" ca="1" si="24"/>
        <v>43</v>
      </c>
      <c r="AL274">
        <f t="shared" ca="1" si="25"/>
        <v>10</v>
      </c>
      <c r="AM274" t="str">
        <f t="shared" si="26"/>
        <v>Actif</v>
      </c>
      <c r="AN274" s="2" t="str">
        <f t="shared" ca="1" si="27"/>
        <v>30-44 ans</v>
      </c>
      <c r="AO274" s="2" t="str">
        <f t="shared" si="28"/>
        <v>Fully Meets</v>
      </c>
      <c r="AP274" s="2" t="str">
        <f t="shared" si="29"/>
        <v>FAIBLE</v>
      </c>
    </row>
    <row r="275" spans="1:42">
      <c r="A275" s="2" t="s">
        <v>881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s="2" t="s">
        <v>15</v>
      </c>
      <c r="N275" s="2" t="s">
        <v>16</v>
      </c>
      <c r="O275">
        <v>2718</v>
      </c>
      <c r="P275" s="1">
        <v>25065</v>
      </c>
      <c r="Q275" s="2" t="s">
        <v>44</v>
      </c>
      <c r="R275" s="2" t="s">
        <v>18</v>
      </c>
      <c r="S275" s="2" t="s">
        <v>106</v>
      </c>
      <c r="T275" s="2" t="s">
        <v>20</v>
      </c>
      <c r="U275" s="2" t="s">
        <v>111</v>
      </c>
      <c r="V275" s="1">
        <v>41043</v>
      </c>
      <c r="W275" s="1"/>
      <c r="X275" s="2" t="s">
        <v>22</v>
      </c>
      <c r="Y275" s="2" t="s">
        <v>23</v>
      </c>
      <c r="Z275" s="2" t="s">
        <v>24</v>
      </c>
      <c r="AA275" s="2" t="s">
        <v>51</v>
      </c>
      <c r="AB275">
        <v>16</v>
      </c>
      <c r="AC275" s="2" t="s">
        <v>38</v>
      </c>
      <c r="AD275" s="2" t="s">
        <v>39</v>
      </c>
      <c r="AE275" s="2" t="s">
        <v>249</v>
      </c>
      <c r="AF275">
        <v>5</v>
      </c>
      <c r="AG275">
        <v>0</v>
      </c>
      <c r="AH275" t="s">
        <v>226</v>
      </c>
      <c r="AI275">
        <v>0</v>
      </c>
      <c r="AJ275">
        <v>13</v>
      </c>
      <c r="AK275">
        <f t="shared" ca="1" si="24"/>
        <v>57</v>
      </c>
      <c r="AL275">
        <f t="shared" ca="1" si="25"/>
        <v>13</v>
      </c>
      <c r="AM275" t="str">
        <f t="shared" si="26"/>
        <v>Actif</v>
      </c>
      <c r="AN275" s="2" t="str">
        <f t="shared" ca="1" si="27"/>
        <v>45-59 ans</v>
      </c>
      <c r="AO275" s="2" t="str">
        <f t="shared" si="28"/>
        <v>Fully Meets</v>
      </c>
      <c r="AP275" s="2" t="str">
        <f t="shared" si="29"/>
        <v>SURVEILLER</v>
      </c>
    </row>
    <row r="276" spans="1:42">
      <c r="A276" s="2" t="s">
        <v>882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s="2" t="s">
        <v>60</v>
      </c>
      <c r="N276" s="2" t="s">
        <v>16</v>
      </c>
      <c r="O276">
        <v>2140</v>
      </c>
      <c r="P276" s="1">
        <v>30472</v>
      </c>
      <c r="Q276" s="2" t="s">
        <v>17</v>
      </c>
      <c r="R276" s="2" t="s">
        <v>18</v>
      </c>
      <c r="S276" s="2" t="s">
        <v>19</v>
      </c>
      <c r="T276" s="2" t="s">
        <v>20</v>
      </c>
      <c r="U276" s="2" t="s">
        <v>21</v>
      </c>
      <c r="V276" s="1">
        <v>41827</v>
      </c>
      <c r="W276" s="1"/>
      <c r="X276" s="2" t="s">
        <v>22</v>
      </c>
      <c r="Y276" s="2" t="s">
        <v>23</v>
      </c>
      <c r="Z276" s="2" t="s">
        <v>62</v>
      </c>
      <c r="AA276" s="2" t="s">
        <v>63</v>
      </c>
      <c r="AB276">
        <v>10</v>
      </c>
      <c r="AC276" s="2" t="s">
        <v>26</v>
      </c>
      <c r="AD276" s="2" t="s">
        <v>27</v>
      </c>
      <c r="AE276" s="2" t="s">
        <v>109</v>
      </c>
      <c r="AF276">
        <v>5</v>
      </c>
      <c r="AG276">
        <v>5</v>
      </c>
      <c r="AH276" t="s">
        <v>78</v>
      </c>
      <c r="AI276">
        <v>0</v>
      </c>
      <c r="AJ276">
        <v>1</v>
      </c>
      <c r="AK276">
        <f t="shared" ca="1" si="24"/>
        <v>42</v>
      </c>
      <c r="AL276">
        <f t="shared" ca="1" si="25"/>
        <v>11</v>
      </c>
      <c r="AM276" t="str">
        <f t="shared" si="26"/>
        <v>Actif</v>
      </c>
      <c r="AN276" s="2" t="str">
        <f t="shared" ca="1" si="27"/>
        <v>30-44 ans</v>
      </c>
      <c r="AO276" s="2" t="str">
        <f t="shared" si="28"/>
        <v>Exceeds</v>
      </c>
      <c r="AP276" s="2" t="str">
        <f t="shared" si="29"/>
        <v>FAIBLE</v>
      </c>
    </row>
    <row r="277" spans="1:42">
      <c r="A277" s="2" t="s">
        <v>883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s="2" t="s">
        <v>236</v>
      </c>
      <c r="N277" s="2" t="s">
        <v>16</v>
      </c>
      <c r="O277">
        <v>2134</v>
      </c>
      <c r="P277" s="1">
        <v>32074</v>
      </c>
      <c r="Q277" s="2" t="s">
        <v>17</v>
      </c>
      <c r="R277" s="2" t="s">
        <v>31</v>
      </c>
      <c r="S277" s="2" t="s">
        <v>19</v>
      </c>
      <c r="T277" s="2" t="s">
        <v>20</v>
      </c>
      <c r="U277" s="2" t="s">
        <v>21</v>
      </c>
      <c r="V277" s="1">
        <v>42845</v>
      </c>
      <c r="W277" s="1"/>
      <c r="X277" s="2" t="s">
        <v>22</v>
      </c>
      <c r="Y277" s="2" t="s">
        <v>23</v>
      </c>
      <c r="Z277" s="2" t="s">
        <v>36</v>
      </c>
      <c r="AA277" s="2" t="s">
        <v>238</v>
      </c>
      <c r="AB277">
        <v>13</v>
      </c>
      <c r="AC277" s="2" t="s">
        <v>38</v>
      </c>
      <c r="AD277" s="2" t="s">
        <v>39</v>
      </c>
      <c r="AE277" s="2" t="s">
        <v>249</v>
      </c>
      <c r="AF277">
        <v>3</v>
      </c>
      <c r="AG277">
        <v>6</v>
      </c>
      <c r="AH277">
        <v>43497</v>
      </c>
      <c r="AI277">
        <v>0</v>
      </c>
      <c r="AJ277">
        <v>14</v>
      </c>
      <c r="AK277">
        <f t="shared" ca="1" si="24"/>
        <v>38</v>
      </c>
      <c r="AL277">
        <f t="shared" ca="1" si="25"/>
        <v>8</v>
      </c>
      <c r="AM277" t="str">
        <f t="shared" si="26"/>
        <v>Actif</v>
      </c>
      <c r="AN277" s="2" t="str">
        <f t="shared" ca="1" si="27"/>
        <v>30-44 ans</v>
      </c>
      <c r="AO277" s="2" t="str">
        <f t="shared" si="28"/>
        <v>Fully Meets</v>
      </c>
      <c r="AP277" s="2" t="str">
        <f t="shared" si="29"/>
        <v>SURVEILLER</v>
      </c>
    </row>
    <row r="278" spans="1:42">
      <c r="A278" s="2" t="s">
        <v>884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s="2" t="s">
        <v>15</v>
      </c>
      <c r="N278" s="2" t="s">
        <v>16</v>
      </c>
      <c r="O278">
        <v>1801</v>
      </c>
      <c r="P278" s="1">
        <v>27457</v>
      </c>
      <c r="Q278" s="2" t="s">
        <v>44</v>
      </c>
      <c r="R278" s="2" t="s">
        <v>31</v>
      </c>
      <c r="S278" s="2" t="s">
        <v>189</v>
      </c>
      <c r="T278" s="2" t="s">
        <v>20</v>
      </c>
      <c r="U278" s="2" t="s">
        <v>71</v>
      </c>
      <c r="V278" s="1">
        <v>39930</v>
      </c>
      <c r="W278" s="1">
        <v>41278</v>
      </c>
      <c r="X278" s="2" t="s">
        <v>80</v>
      </c>
      <c r="Y278" s="2" t="s">
        <v>35</v>
      </c>
      <c r="Z278" s="2" t="s">
        <v>24</v>
      </c>
      <c r="AA278" s="2" t="s">
        <v>55</v>
      </c>
      <c r="AB278">
        <v>39</v>
      </c>
      <c r="AC278" s="2" t="s">
        <v>73</v>
      </c>
      <c r="AD278" s="2" t="s">
        <v>39</v>
      </c>
      <c r="AE278" s="2" t="s">
        <v>109</v>
      </c>
      <c r="AF278">
        <v>5</v>
      </c>
      <c r="AG278">
        <v>0</v>
      </c>
      <c r="AH278" t="s">
        <v>433</v>
      </c>
      <c r="AI278">
        <v>0</v>
      </c>
      <c r="AJ278">
        <v>11</v>
      </c>
      <c r="AK278">
        <f t="shared" ca="1" si="24"/>
        <v>51</v>
      </c>
      <c r="AL278">
        <f t="shared" ca="1" si="25"/>
        <v>3</v>
      </c>
      <c r="AM278" t="str">
        <f t="shared" si="26"/>
        <v>Volontaire</v>
      </c>
      <c r="AN278" s="2" t="str">
        <f t="shared" ca="1" si="27"/>
        <v>45-59 ans</v>
      </c>
      <c r="AO278" s="2" t="str">
        <f t="shared" si="28"/>
        <v>Fully Meets</v>
      </c>
      <c r="AP278" s="2" t="str">
        <f t="shared" si="29"/>
        <v>SURVEILLER</v>
      </c>
    </row>
    <row r="279" spans="1:42">
      <c r="A279" s="2" t="s">
        <v>885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s="2" t="s">
        <v>42</v>
      </c>
      <c r="N279" s="2" t="s">
        <v>16</v>
      </c>
      <c r="O279">
        <v>2129</v>
      </c>
      <c r="P279" s="1">
        <v>19503</v>
      </c>
      <c r="Q279" s="2" t="s">
        <v>44</v>
      </c>
      <c r="R279" s="2" t="s">
        <v>31</v>
      </c>
      <c r="S279" s="2" t="s">
        <v>19</v>
      </c>
      <c r="T279" s="2" t="s">
        <v>20</v>
      </c>
      <c r="U279" s="2" t="s">
        <v>21</v>
      </c>
      <c r="V279" s="1">
        <v>40679</v>
      </c>
      <c r="W279" s="1">
        <v>42954</v>
      </c>
      <c r="X279" s="2" t="s">
        <v>80</v>
      </c>
      <c r="Y279" s="2" t="s">
        <v>35</v>
      </c>
      <c r="Z279" s="2" t="s">
        <v>24</v>
      </c>
      <c r="AA279" s="2" t="s">
        <v>51</v>
      </c>
      <c r="AB279">
        <v>16</v>
      </c>
      <c r="AC279" s="2" t="s">
        <v>56</v>
      </c>
      <c r="AD279" s="2" t="s">
        <v>39</v>
      </c>
      <c r="AE279" s="2" t="s">
        <v>422</v>
      </c>
      <c r="AF279">
        <v>3</v>
      </c>
      <c r="AG279">
        <v>0</v>
      </c>
      <c r="AH279" t="s">
        <v>545</v>
      </c>
      <c r="AI279">
        <v>0</v>
      </c>
      <c r="AJ279">
        <v>3</v>
      </c>
      <c r="AK279">
        <f t="shared" ca="1" si="24"/>
        <v>72</v>
      </c>
      <c r="AL279">
        <f t="shared" ca="1" si="25"/>
        <v>6</v>
      </c>
      <c r="AM279" t="str">
        <f t="shared" si="26"/>
        <v>Volontaire</v>
      </c>
      <c r="AN279" s="2" t="str">
        <f t="shared" ca="1" si="27"/>
        <v>60 ans et plus</v>
      </c>
      <c r="AO279" s="2" t="str">
        <f t="shared" si="28"/>
        <v>Fully Meets</v>
      </c>
      <c r="AP279" s="2" t="str">
        <f t="shared" si="29"/>
        <v>FAIBLE</v>
      </c>
    </row>
    <row r="280" spans="1:42">
      <c r="A280" s="2" t="s">
        <v>886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s="2" t="s">
        <v>151</v>
      </c>
      <c r="N280" s="2" t="s">
        <v>546</v>
      </c>
      <c r="O280">
        <v>97756</v>
      </c>
      <c r="P280" s="1">
        <v>23928</v>
      </c>
      <c r="Q280" s="2" t="s">
        <v>44</v>
      </c>
      <c r="R280" s="2" t="s">
        <v>18</v>
      </c>
      <c r="S280" s="2" t="s">
        <v>19</v>
      </c>
      <c r="T280" s="2" t="s">
        <v>20</v>
      </c>
      <c r="U280" s="2" t="s">
        <v>71</v>
      </c>
      <c r="V280" s="1">
        <v>41911</v>
      </c>
      <c r="W280" s="1"/>
      <c r="X280" s="2" t="s">
        <v>22</v>
      </c>
      <c r="Y280" s="2" t="s">
        <v>23</v>
      </c>
      <c r="Z280" s="2" t="s">
        <v>154</v>
      </c>
      <c r="AA280" s="2" t="s">
        <v>180</v>
      </c>
      <c r="AB280">
        <v>21</v>
      </c>
      <c r="AC280" s="2" t="s">
        <v>38</v>
      </c>
      <c r="AD280" s="2" t="s">
        <v>39</v>
      </c>
      <c r="AE280" s="2" t="s">
        <v>493</v>
      </c>
      <c r="AF280">
        <v>3</v>
      </c>
      <c r="AG280">
        <v>0</v>
      </c>
      <c r="AH280" t="s">
        <v>213</v>
      </c>
      <c r="AI280">
        <v>0</v>
      </c>
      <c r="AJ280">
        <v>18</v>
      </c>
      <c r="AK280">
        <f t="shared" ca="1" si="24"/>
        <v>60</v>
      </c>
      <c r="AL280">
        <f t="shared" ca="1" si="25"/>
        <v>11</v>
      </c>
      <c r="AM280" t="str">
        <f t="shared" si="26"/>
        <v>Actif</v>
      </c>
      <c r="AN280" s="2" t="str">
        <f t="shared" ca="1" si="27"/>
        <v>60 ans et plus</v>
      </c>
      <c r="AO280" s="2" t="str">
        <f t="shared" si="28"/>
        <v>Fully Meets</v>
      </c>
      <c r="AP280" s="2" t="str">
        <f t="shared" si="29"/>
        <v>SURVEILLER</v>
      </c>
    </row>
    <row r="281" spans="1:42">
      <c r="A281" s="2" t="s">
        <v>887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s="2" t="s">
        <v>15</v>
      </c>
      <c r="N281" s="2" t="s">
        <v>16</v>
      </c>
      <c r="O281">
        <v>2066</v>
      </c>
      <c r="P281" s="1">
        <v>23990</v>
      </c>
      <c r="Q281" s="2" t="s">
        <v>44</v>
      </c>
      <c r="R281" s="2" t="s">
        <v>18</v>
      </c>
      <c r="S281" s="2" t="s">
        <v>19</v>
      </c>
      <c r="T281" s="2" t="s">
        <v>20</v>
      </c>
      <c r="U281" s="2" t="s">
        <v>21</v>
      </c>
      <c r="V281" s="1">
        <v>40670</v>
      </c>
      <c r="W281" s="1">
        <v>42499</v>
      </c>
      <c r="X281" s="2" t="s">
        <v>54</v>
      </c>
      <c r="Y281" s="2" t="s">
        <v>35</v>
      </c>
      <c r="Z281" s="2" t="s">
        <v>24</v>
      </c>
      <c r="AA281" s="2" t="s">
        <v>59</v>
      </c>
      <c r="AB281">
        <v>11</v>
      </c>
      <c r="AC281" s="2" t="s">
        <v>38</v>
      </c>
      <c r="AD281" s="2" t="s">
        <v>39</v>
      </c>
      <c r="AE281" s="2" t="s">
        <v>486</v>
      </c>
      <c r="AF281">
        <v>4</v>
      </c>
      <c r="AG281">
        <v>0</v>
      </c>
      <c r="AH281">
        <v>42403</v>
      </c>
      <c r="AI281">
        <v>0</v>
      </c>
      <c r="AJ281">
        <v>1</v>
      </c>
      <c r="AK281">
        <f t="shared" ca="1" si="24"/>
        <v>60</v>
      </c>
      <c r="AL281">
        <f t="shared" ca="1" si="25"/>
        <v>5</v>
      </c>
      <c r="AM281" t="str">
        <f t="shared" si="26"/>
        <v>Volontaire</v>
      </c>
      <c r="AN281" s="2" t="str">
        <f t="shared" ca="1" si="27"/>
        <v>60 ans et plus</v>
      </c>
      <c r="AO281" s="2" t="str">
        <f t="shared" si="28"/>
        <v>Fully Meets</v>
      </c>
      <c r="AP281" s="2" t="str">
        <f t="shared" si="29"/>
        <v>FAIBLE</v>
      </c>
    </row>
    <row r="282" spans="1:42">
      <c r="A282" s="2" t="s">
        <v>888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s="2" t="s">
        <v>42</v>
      </c>
      <c r="N282" s="2" t="s">
        <v>16</v>
      </c>
      <c r="O282">
        <v>2472</v>
      </c>
      <c r="P282" s="1">
        <v>27653</v>
      </c>
      <c r="Q282" s="2" t="s">
        <v>17</v>
      </c>
      <c r="R282" s="2" t="s">
        <v>66</v>
      </c>
      <c r="S282" s="2" t="s">
        <v>19</v>
      </c>
      <c r="T282" s="2" t="s">
        <v>20</v>
      </c>
      <c r="U282" s="2" t="s">
        <v>21</v>
      </c>
      <c r="V282" s="1">
        <v>39258</v>
      </c>
      <c r="W282" s="1">
        <v>40420</v>
      </c>
      <c r="X282" s="2" t="s">
        <v>262</v>
      </c>
      <c r="Y282" s="2" t="s">
        <v>35</v>
      </c>
      <c r="Z282" s="2" t="s">
        <v>24</v>
      </c>
      <c r="AA282" s="2" t="s">
        <v>55</v>
      </c>
      <c r="AB282">
        <v>39</v>
      </c>
      <c r="AC282" s="2" t="s">
        <v>295</v>
      </c>
      <c r="AD282" s="2" t="s">
        <v>39</v>
      </c>
      <c r="AE282" s="2" t="s">
        <v>199</v>
      </c>
      <c r="AF282">
        <v>4</v>
      </c>
      <c r="AG282">
        <v>0</v>
      </c>
      <c r="AH282" t="s">
        <v>549</v>
      </c>
      <c r="AI282">
        <v>0</v>
      </c>
      <c r="AJ282">
        <v>15</v>
      </c>
      <c r="AK282">
        <f t="shared" ca="1" si="24"/>
        <v>50</v>
      </c>
      <c r="AL282">
        <f t="shared" ca="1" si="25"/>
        <v>3</v>
      </c>
      <c r="AM282" t="str">
        <f t="shared" si="26"/>
        <v>Volontaire</v>
      </c>
      <c r="AN282" s="2" t="str">
        <f t="shared" ca="1" si="27"/>
        <v>45-59 ans</v>
      </c>
      <c r="AO282" s="2" t="str">
        <f t="shared" si="28"/>
        <v>Fully Meets</v>
      </c>
      <c r="AP282" s="2" t="str">
        <f t="shared" si="29"/>
        <v>SURVEILLER</v>
      </c>
    </row>
    <row r="283" spans="1:42">
      <c r="A283" s="2" t="s">
        <v>889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s="2" t="s">
        <v>15</v>
      </c>
      <c r="N283" s="2" t="s">
        <v>16</v>
      </c>
      <c r="O283">
        <v>2093</v>
      </c>
      <c r="P283" s="1">
        <v>24598</v>
      </c>
      <c r="Q283" s="2" t="s">
        <v>44</v>
      </c>
      <c r="R283" s="2" t="s">
        <v>53</v>
      </c>
      <c r="S283" s="2" t="s">
        <v>19</v>
      </c>
      <c r="T283" s="2" t="s">
        <v>20</v>
      </c>
      <c r="U283" s="2" t="s">
        <v>71</v>
      </c>
      <c r="V283" s="1">
        <v>41323</v>
      </c>
      <c r="W283" s="1"/>
      <c r="X283" s="2" t="s">
        <v>22</v>
      </c>
      <c r="Y283" s="2" t="s">
        <v>23</v>
      </c>
      <c r="Z283" s="2" t="s">
        <v>24</v>
      </c>
      <c r="AA283" s="2" t="s">
        <v>72</v>
      </c>
      <c r="AB283">
        <v>12</v>
      </c>
      <c r="AC283" s="2" t="s">
        <v>38</v>
      </c>
      <c r="AD283" s="2" t="s">
        <v>39</v>
      </c>
      <c r="AE283" s="2" t="s">
        <v>551</v>
      </c>
      <c r="AF283">
        <v>5</v>
      </c>
      <c r="AG283">
        <v>0</v>
      </c>
      <c r="AH283" t="s">
        <v>104</v>
      </c>
      <c r="AI283">
        <v>0</v>
      </c>
      <c r="AJ283">
        <v>4</v>
      </c>
      <c r="AK283">
        <f t="shared" ca="1" si="24"/>
        <v>58</v>
      </c>
      <c r="AL283">
        <f t="shared" ca="1" si="25"/>
        <v>13</v>
      </c>
      <c r="AM283" t="str">
        <f t="shared" si="26"/>
        <v>Actif</v>
      </c>
      <c r="AN283" s="2" t="str">
        <f t="shared" ca="1" si="27"/>
        <v>45-59 ans</v>
      </c>
      <c r="AO283" s="2" t="str">
        <f t="shared" si="28"/>
        <v>Fully Meets</v>
      </c>
      <c r="AP283" s="2" t="str">
        <f t="shared" si="29"/>
        <v>FAIBLE</v>
      </c>
    </row>
    <row r="284" spans="1:42">
      <c r="A284" s="2" t="s">
        <v>890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s="2" t="s">
        <v>151</v>
      </c>
      <c r="N284" s="2" t="s">
        <v>552</v>
      </c>
      <c r="O284">
        <v>58782</v>
      </c>
      <c r="P284" s="1">
        <v>24852</v>
      </c>
      <c r="Q284" s="2" t="s">
        <v>17</v>
      </c>
      <c r="R284" s="2" t="s">
        <v>149</v>
      </c>
      <c r="S284" s="2" t="s">
        <v>19</v>
      </c>
      <c r="T284" s="2" t="s">
        <v>20</v>
      </c>
      <c r="U284" s="2" t="s">
        <v>21</v>
      </c>
      <c r="V284" s="1">
        <v>38961</v>
      </c>
      <c r="W284" s="1"/>
      <c r="X284" s="2" t="s">
        <v>22</v>
      </c>
      <c r="Y284" s="2" t="s">
        <v>23</v>
      </c>
      <c r="Z284" s="2" t="s">
        <v>154</v>
      </c>
      <c r="AA284" s="2" t="s">
        <v>180</v>
      </c>
      <c r="AB284">
        <v>21</v>
      </c>
      <c r="AC284" s="2" t="s">
        <v>38</v>
      </c>
      <c r="AD284" s="2" t="s">
        <v>27</v>
      </c>
      <c r="AE284" s="2" t="s">
        <v>199</v>
      </c>
      <c r="AF284">
        <v>3</v>
      </c>
      <c r="AG284">
        <v>0</v>
      </c>
      <c r="AH284">
        <v>43556</v>
      </c>
      <c r="AI284">
        <v>0</v>
      </c>
      <c r="AJ284">
        <v>6</v>
      </c>
      <c r="AK284">
        <f t="shared" ca="1" si="24"/>
        <v>58</v>
      </c>
      <c r="AL284">
        <f t="shared" ca="1" si="25"/>
        <v>19</v>
      </c>
      <c r="AM284" t="str">
        <f t="shared" si="26"/>
        <v>Actif</v>
      </c>
      <c r="AN284" s="2" t="str">
        <f t="shared" ca="1" si="27"/>
        <v>45-59 ans</v>
      </c>
      <c r="AO284" s="2" t="str">
        <f t="shared" si="28"/>
        <v>Exceeds</v>
      </c>
      <c r="AP284" s="2" t="str">
        <f t="shared" si="29"/>
        <v>FAIBLE</v>
      </c>
    </row>
    <row r="285" spans="1:42">
      <c r="A285" s="2" t="s">
        <v>891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s="2" t="s">
        <v>15</v>
      </c>
      <c r="N285" s="2" t="s">
        <v>16</v>
      </c>
      <c r="O285">
        <v>2021</v>
      </c>
      <c r="P285" s="1">
        <v>30452</v>
      </c>
      <c r="Q285" s="2" t="s">
        <v>44</v>
      </c>
      <c r="R285" s="2" t="s">
        <v>18</v>
      </c>
      <c r="S285" s="2" t="s">
        <v>19</v>
      </c>
      <c r="T285" s="2" t="s">
        <v>20</v>
      </c>
      <c r="U285" s="2" t="s">
        <v>21</v>
      </c>
      <c r="V285" s="1">
        <v>41687</v>
      </c>
      <c r="W285" s="1"/>
      <c r="X285" s="2" t="s">
        <v>22</v>
      </c>
      <c r="Y285" s="2" t="s">
        <v>23</v>
      </c>
      <c r="Z285" s="2" t="s">
        <v>24</v>
      </c>
      <c r="AA285" s="2" t="s">
        <v>81</v>
      </c>
      <c r="AB285">
        <v>14</v>
      </c>
      <c r="AC285" s="2" t="s">
        <v>26</v>
      </c>
      <c r="AD285" s="2" t="s">
        <v>118</v>
      </c>
      <c r="AE285" s="2" t="s">
        <v>555</v>
      </c>
      <c r="AF285">
        <v>5</v>
      </c>
      <c r="AG285">
        <v>0</v>
      </c>
      <c r="AH285">
        <v>43771</v>
      </c>
      <c r="AI285">
        <v>4</v>
      </c>
      <c r="AJ285">
        <v>18</v>
      </c>
      <c r="AK285">
        <f t="shared" ca="1" si="24"/>
        <v>42</v>
      </c>
      <c r="AL285">
        <f t="shared" ca="1" si="25"/>
        <v>12</v>
      </c>
      <c r="AM285" t="str">
        <f t="shared" si="26"/>
        <v>Actif</v>
      </c>
      <c r="AN285" s="2" t="str">
        <f t="shared" ca="1" si="27"/>
        <v>30-44 ans</v>
      </c>
      <c r="AO285" s="2" t="str">
        <f t="shared" si="28"/>
        <v>Needs Improvement</v>
      </c>
      <c r="AP285" s="2" t="str">
        <f t="shared" si="29"/>
        <v>SURVEILLER</v>
      </c>
    </row>
    <row r="286" spans="1:42">
      <c r="A286" s="2" t="s">
        <v>892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s="2" t="s">
        <v>281</v>
      </c>
      <c r="N286" s="2" t="s">
        <v>16</v>
      </c>
      <c r="O286">
        <v>1420</v>
      </c>
      <c r="P286" s="1">
        <v>32268</v>
      </c>
      <c r="Q286" s="2" t="s">
        <v>17</v>
      </c>
      <c r="R286" s="2" t="s">
        <v>31</v>
      </c>
      <c r="S286" s="2" t="s">
        <v>19</v>
      </c>
      <c r="T286" s="2" t="s">
        <v>20</v>
      </c>
      <c r="U286" s="2" t="s">
        <v>21</v>
      </c>
      <c r="V286" s="1">
        <v>42125</v>
      </c>
      <c r="W286" s="1">
        <v>42706</v>
      </c>
      <c r="X286" s="2" t="s">
        <v>465</v>
      </c>
      <c r="Y286" s="2" t="s">
        <v>35</v>
      </c>
      <c r="Z286" s="2" t="s">
        <v>36</v>
      </c>
      <c r="AA286" s="2" t="s">
        <v>77</v>
      </c>
      <c r="AB286">
        <v>7</v>
      </c>
      <c r="AC286" s="2" t="s">
        <v>117</v>
      </c>
      <c r="AD286" s="2" t="s">
        <v>39</v>
      </c>
      <c r="AE286" s="2" t="s">
        <v>57</v>
      </c>
      <c r="AF286">
        <v>3</v>
      </c>
      <c r="AG286">
        <v>5</v>
      </c>
      <c r="AH286" t="s">
        <v>353</v>
      </c>
      <c r="AI286">
        <v>0</v>
      </c>
      <c r="AJ286">
        <v>11</v>
      </c>
      <c r="AK286">
        <f t="shared" ca="1" si="24"/>
        <v>37</v>
      </c>
      <c r="AL286">
        <f t="shared" ca="1" si="25"/>
        <v>1</v>
      </c>
      <c r="AM286" t="str">
        <f t="shared" si="26"/>
        <v>Volontaire</v>
      </c>
      <c r="AN286" s="2" t="str">
        <f t="shared" ca="1" si="27"/>
        <v>30-44 ans</v>
      </c>
      <c r="AO286" s="2" t="str">
        <f t="shared" si="28"/>
        <v>Fully Meets</v>
      </c>
      <c r="AP286" s="2" t="str">
        <f t="shared" si="29"/>
        <v>SURVEILLER</v>
      </c>
    </row>
    <row r="287" spans="1:42">
      <c r="A287" s="2" t="s">
        <v>893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s="2" t="s">
        <v>60</v>
      </c>
      <c r="N287" s="2" t="s">
        <v>16</v>
      </c>
      <c r="O287">
        <v>2451</v>
      </c>
      <c r="P287" s="1">
        <v>30481</v>
      </c>
      <c r="Q287" s="2" t="s">
        <v>17</v>
      </c>
      <c r="R287" s="2" t="s">
        <v>18</v>
      </c>
      <c r="S287" s="2" t="s">
        <v>189</v>
      </c>
      <c r="T287" s="2" t="s">
        <v>20</v>
      </c>
      <c r="U287" s="2" t="s">
        <v>71</v>
      </c>
      <c r="V287" s="1">
        <v>41323</v>
      </c>
      <c r="W287" s="1">
        <v>43205</v>
      </c>
      <c r="X287" s="2" t="s">
        <v>465</v>
      </c>
      <c r="Y287" s="2" t="s">
        <v>35</v>
      </c>
      <c r="Z287" s="2" t="s">
        <v>62</v>
      </c>
      <c r="AA287" s="2" t="s">
        <v>63</v>
      </c>
      <c r="AB287">
        <v>10</v>
      </c>
      <c r="AC287" s="2" t="s">
        <v>73</v>
      </c>
      <c r="AD287" s="2" t="s">
        <v>39</v>
      </c>
      <c r="AE287" s="2" t="s">
        <v>28</v>
      </c>
      <c r="AF287">
        <v>3</v>
      </c>
      <c r="AG287">
        <v>4</v>
      </c>
      <c r="AH287">
        <v>43071</v>
      </c>
      <c r="AI287">
        <v>0</v>
      </c>
      <c r="AJ287">
        <v>9</v>
      </c>
      <c r="AK287">
        <f t="shared" ca="1" si="24"/>
        <v>42</v>
      </c>
      <c r="AL287">
        <f t="shared" ca="1" si="25"/>
        <v>5</v>
      </c>
      <c r="AM287" t="str">
        <f t="shared" si="26"/>
        <v>Volontaire</v>
      </c>
      <c r="AN287" s="2" t="str">
        <f t="shared" ca="1" si="27"/>
        <v>30-44 ans</v>
      </c>
      <c r="AO287" s="2" t="str">
        <f t="shared" si="28"/>
        <v>Fully Meets</v>
      </c>
      <c r="AP287" s="2" t="str">
        <f t="shared" si="29"/>
        <v>FAIBLE</v>
      </c>
    </row>
    <row r="288" spans="1:42">
      <c r="A288" s="2" t="s">
        <v>894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s="2" t="s">
        <v>42</v>
      </c>
      <c r="N288" s="2" t="s">
        <v>16</v>
      </c>
      <c r="O288">
        <v>1778</v>
      </c>
      <c r="P288" s="1">
        <v>31121</v>
      </c>
      <c r="Q288" s="2" t="s">
        <v>44</v>
      </c>
      <c r="R288" s="2" t="s">
        <v>18</v>
      </c>
      <c r="S288" s="2" t="s">
        <v>19</v>
      </c>
      <c r="T288" s="2" t="s">
        <v>20</v>
      </c>
      <c r="U288" s="2" t="s">
        <v>21</v>
      </c>
      <c r="V288" s="1">
        <v>40817</v>
      </c>
      <c r="W288" s="1">
        <v>41677</v>
      </c>
      <c r="X288" s="2" t="s">
        <v>86</v>
      </c>
      <c r="Y288" s="2" t="s">
        <v>35</v>
      </c>
      <c r="Z288" s="2" t="s">
        <v>24</v>
      </c>
      <c r="AA288" s="2" t="s">
        <v>59</v>
      </c>
      <c r="AB288">
        <v>11</v>
      </c>
      <c r="AC288" s="2" t="s">
        <v>26</v>
      </c>
      <c r="AD288" s="2" t="s">
        <v>39</v>
      </c>
      <c r="AE288" s="2" t="s">
        <v>103</v>
      </c>
      <c r="AF288">
        <v>3</v>
      </c>
      <c r="AG288">
        <v>0</v>
      </c>
      <c r="AH288">
        <v>41760</v>
      </c>
      <c r="AI288">
        <v>0</v>
      </c>
      <c r="AJ288">
        <v>5</v>
      </c>
      <c r="AK288">
        <f t="shared" ca="1" si="24"/>
        <v>41</v>
      </c>
      <c r="AL288">
        <f t="shared" ca="1" si="25"/>
        <v>2</v>
      </c>
      <c r="AM288" t="str">
        <f t="shared" si="26"/>
        <v>Volontaire</v>
      </c>
      <c r="AN288" s="2" t="str">
        <f t="shared" ca="1" si="27"/>
        <v>30-44 ans</v>
      </c>
      <c r="AO288" s="2" t="str">
        <f t="shared" si="28"/>
        <v>Fully Meets</v>
      </c>
      <c r="AP288" s="2" t="str">
        <f t="shared" si="29"/>
        <v>FAIBLE</v>
      </c>
    </row>
    <row r="289" spans="1:42">
      <c r="A289" s="2" t="s">
        <v>895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s="2" t="s">
        <v>281</v>
      </c>
      <c r="N289" s="2" t="s">
        <v>16</v>
      </c>
      <c r="O289">
        <v>2343</v>
      </c>
      <c r="P289" s="1">
        <v>25293</v>
      </c>
      <c r="Q289" s="2" t="s">
        <v>17</v>
      </c>
      <c r="R289" s="2" t="s">
        <v>31</v>
      </c>
      <c r="S289" s="2" t="s">
        <v>106</v>
      </c>
      <c r="T289" s="2" t="s">
        <v>20</v>
      </c>
      <c r="U289" s="2" t="s">
        <v>21</v>
      </c>
      <c r="V289" s="1">
        <v>42093</v>
      </c>
      <c r="W289" s="1"/>
      <c r="X289" s="2" t="s">
        <v>22</v>
      </c>
      <c r="Y289" s="2" t="s">
        <v>23</v>
      </c>
      <c r="Z289" s="2" t="s">
        <v>36</v>
      </c>
      <c r="AA289" s="2" t="s">
        <v>77</v>
      </c>
      <c r="AB289">
        <v>7</v>
      </c>
      <c r="AC289" s="2" t="s">
        <v>69</v>
      </c>
      <c r="AD289" s="2" t="s">
        <v>39</v>
      </c>
      <c r="AE289" s="2" t="s">
        <v>57</v>
      </c>
      <c r="AF289">
        <v>4</v>
      </c>
      <c r="AG289">
        <v>7</v>
      </c>
      <c r="AH289" t="s">
        <v>104</v>
      </c>
      <c r="AI289">
        <v>0</v>
      </c>
      <c r="AJ289">
        <v>8</v>
      </c>
      <c r="AK289">
        <f t="shared" ca="1" si="24"/>
        <v>57</v>
      </c>
      <c r="AL289">
        <f t="shared" ca="1" si="25"/>
        <v>11</v>
      </c>
      <c r="AM289" t="str">
        <f t="shared" si="26"/>
        <v>Actif</v>
      </c>
      <c r="AN289" s="2" t="str">
        <f t="shared" ca="1" si="27"/>
        <v>45-59 ans</v>
      </c>
      <c r="AO289" s="2" t="str">
        <f t="shared" si="28"/>
        <v>Fully Meets</v>
      </c>
      <c r="AP289" s="2" t="str">
        <f t="shared" si="29"/>
        <v>FAIBLE</v>
      </c>
    </row>
    <row r="290" spans="1:42">
      <c r="A290" s="2" t="s">
        <v>896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s="2" t="s">
        <v>151</v>
      </c>
      <c r="N290" s="2" t="s">
        <v>560</v>
      </c>
      <c r="O290">
        <v>85006</v>
      </c>
      <c r="P290" s="1">
        <v>33381</v>
      </c>
      <c r="Q290" s="2" t="s">
        <v>44</v>
      </c>
      <c r="R290" s="2" t="s">
        <v>31</v>
      </c>
      <c r="S290" s="2" t="s">
        <v>19</v>
      </c>
      <c r="T290" s="2" t="s">
        <v>20</v>
      </c>
      <c r="U290" s="2" t="s">
        <v>91</v>
      </c>
      <c r="V290" s="1">
        <v>40670</v>
      </c>
      <c r="W290" s="1"/>
      <c r="X290" s="2" t="s">
        <v>22</v>
      </c>
      <c r="Y290" s="2" t="s">
        <v>23</v>
      </c>
      <c r="Z290" s="2" t="s">
        <v>154</v>
      </c>
      <c r="AA290" s="2" t="s">
        <v>155</v>
      </c>
      <c r="AB290">
        <v>17</v>
      </c>
      <c r="AC290" s="2" t="s">
        <v>38</v>
      </c>
      <c r="AD290" s="2" t="s">
        <v>39</v>
      </c>
      <c r="AE290" s="2" t="s">
        <v>562</v>
      </c>
      <c r="AF290">
        <v>3</v>
      </c>
      <c r="AG290">
        <v>0</v>
      </c>
      <c r="AH290" t="s">
        <v>29</v>
      </c>
      <c r="AI290">
        <v>0</v>
      </c>
      <c r="AJ290">
        <v>16</v>
      </c>
      <c r="AK290">
        <f t="shared" ca="1" si="24"/>
        <v>34</v>
      </c>
      <c r="AL290">
        <f t="shared" ca="1" si="25"/>
        <v>14</v>
      </c>
      <c r="AM290" t="str">
        <f t="shared" si="26"/>
        <v>Actif</v>
      </c>
      <c r="AN290" s="2" t="str">
        <f t="shared" ca="1" si="27"/>
        <v>30-44 ans</v>
      </c>
      <c r="AO290" s="2" t="str">
        <f t="shared" si="28"/>
        <v>Fully Meets</v>
      </c>
      <c r="AP290" s="2" t="str">
        <f t="shared" si="29"/>
        <v>SURVEILLER</v>
      </c>
    </row>
    <row r="291" spans="1:42">
      <c r="A291" s="2" t="s">
        <v>897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s="2" t="s">
        <v>15</v>
      </c>
      <c r="N291" s="2" t="s">
        <v>16</v>
      </c>
      <c r="O291">
        <v>2171</v>
      </c>
      <c r="P291" s="1">
        <v>31808</v>
      </c>
      <c r="Q291" s="2" t="s">
        <v>17</v>
      </c>
      <c r="R291" s="2" t="s">
        <v>53</v>
      </c>
      <c r="S291" s="2" t="s">
        <v>19</v>
      </c>
      <c r="T291" s="2" t="s">
        <v>20</v>
      </c>
      <c r="U291" s="2" t="s">
        <v>21</v>
      </c>
      <c r="V291" s="1">
        <v>41134</v>
      </c>
      <c r="W291" s="1">
        <v>42492</v>
      </c>
      <c r="X291" s="2" t="s">
        <v>370</v>
      </c>
      <c r="Y291" s="2" t="s">
        <v>35</v>
      </c>
      <c r="Z291" s="2" t="s">
        <v>24</v>
      </c>
      <c r="AA291" s="2" t="s">
        <v>47</v>
      </c>
      <c r="AB291">
        <v>20</v>
      </c>
      <c r="AC291" s="2" t="s">
        <v>26</v>
      </c>
      <c r="AD291" s="2" t="s">
        <v>27</v>
      </c>
      <c r="AE291" s="2" t="s">
        <v>109</v>
      </c>
      <c r="AF291">
        <v>5</v>
      </c>
      <c r="AG291">
        <v>0</v>
      </c>
      <c r="AH291">
        <v>42371</v>
      </c>
      <c r="AI291">
        <v>0</v>
      </c>
      <c r="AJ291">
        <v>15</v>
      </c>
      <c r="AK291">
        <f t="shared" ca="1" si="24"/>
        <v>39</v>
      </c>
      <c r="AL291">
        <f t="shared" ca="1" si="25"/>
        <v>3</v>
      </c>
      <c r="AM291" t="str">
        <f t="shared" si="26"/>
        <v>Involontaire</v>
      </c>
      <c r="AN291" s="2" t="str">
        <f t="shared" ca="1" si="27"/>
        <v>30-44 ans</v>
      </c>
      <c r="AO291" s="2" t="str">
        <f t="shared" si="28"/>
        <v>Exceeds</v>
      </c>
      <c r="AP291" s="2" t="str">
        <f t="shared" si="29"/>
        <v>SURVEILLER</v>
      </c>
    </row>
    <row r="292" spans="1:42">
      <c r="A292" s="2" t="s">
        <v>898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s="2" t="s">
        <v>133</v>
      </c>
      <c r="N292" s="2" t="s">
        <v>16</v>
      </c>
      <c r="O292">
        <v>2169</v>
      </c>
      <c r="P292" s="1">
        <v>25121</v>
      </c>
      <c r="Q292" s="2" t="s">
        <v>17</v>
      </c>
      <c r="R292" s="2" t="s">
        <v>53</v>
      </c>
      <c r="S292" s="2" t="s">
        <v>19</v>
      </c>
      <c r="T292" s="2" t="s">
        <v>20</v>
      </c>
      <c r="U292" s="2" t="s">
        <v>21</v>
      </c>
      <c r="V292" s="1">
        <v>40551</v>
      </c>
      <c r="W292" s="1"/>
      <c r="X292" s="2" t="s">
        <v>22</v>
      </c>
      <c r="Y292" s="2" t="s">
        <v>23</v>
      </c>
      <c r="Z292" s="2" t="s">
        <v>24</v>
      </c>
      <c r="AA292" s="2" t="s">
        <v>135</v>
      </c>
      <c r="AB292">
        <v>2</v>
      </c>
      <c r="AC292" s="2" t="s">
        <v>69</v>
      </c>
      <c r="AD292" s="2" t="s">
        <v>39</v>
      </c>
      <c r="AE292" s="2" t="s">
        <v>422</v>
      </c>
      <c r="AF292">
        <v>3</v>
      </c>
      <c r="AG292">
        <v>0</v>
      </c>
      <c r="AH292" t="s">
        <v>115</v>
      </c>
      <c r="AI292">
        <v>0</v>
      </c>
      <c r="AJ292">
        <v>19</v>
      </c>
      <c r="AK292">
        <f t="shared" ca="1" si="24"/>
        <v>57</v>
      </c>
      <c r="AL292">
        <f t="shared" ca="1" si="25"/>
        <v>15</v>
      </c>
      <c r="AM292" t="str">
        <f t="shared" si="26"/>
        <v>Actif</v>
      </c>
      <c r="AN292" s="2" t="str">
        <f t="shared" ca="1" si="27"/>
        <v>45-59 ans</v>
      </c>
      <c r="AO292" s="2" t="str">
        <f t="shared" si="28"/>
        <v>Fully Meets</v>
      </c>
      <c r="AP292" s="2" t="str">
        <f t="shared" si="29"/>
        <v>SURVEILLER</v>
      </c>
    </row>
    <row r="293" spans="1:42">
      <c r="A293" s="2" t="s">
        <v>899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s="2" t="s">
        <v>151</v>
      </c>
      <c r="N293" s="2" t="s">
        <v>564</v>
      </c>
      <c r="O293">
        <v>4063</v>
      </c>
      <c r="P293" s="1">
        <v>32819</v>
      </c>
      <c r="Q293" s="2" t="s">
        <v>17</v>
      </c>
      <c r="R293" s="2" t="s">
        <v>18</v>
      </c>
      <c r="S293" s="2" t="s">
        <v>19</v>
      </c>
      <c r="T293" s="2" t="s">
        <v>20</v>
      </c>
      <c r="U293" s="2" t="s">
        <v>111</v>
      </c>
      <c r="V293" s="1">
        <v>41032</v>
      </c>
      <c r="W293" s="1"/>
      <c r="X293" s="2" t="s">
        <v>22</v>
      </c>
      <c r="Y293" s="2" t="s">
        <v>23</v>
      </c>
      <c r="Z293" s="2" t="s">
        <v>154</v>
      </c>
      <c r="AA293" s="2" t="s">
        <v>155</v>
      </c>
      <c r="AB293">
        <v>17</v>
      </c>
      <c r="AC293" s="2" t="s">
        <v>244</v>
      </c>
      <c r="AD293" s="2" t="s">
        <v>39</v>
      </c>
      <c r="AE293" s="2" t="s">
        <v>109</v>
      </c>
      <c r="AF293">
        <v>4</v>
      </c>
      <c r="AG293">
        <v>0</v>
      </c>
      <c r="AH293" t="s">
        <v>248</v>
      </c>
      <c r="AI293">
        <v>0</v>
      </c>
      <c r="AJ293">
        <v>11</v>
      </c>
      <c r="AK293">
        <f t="shared" ca="1" si="24"/>
        <v>36</v>
      </c>
      <c r="AL293">
        <f t="shared" ca="1" si="25"/>
        <v>13</v>
      </c>
      <c r="AM293" t="str">
        <f t="shared" si="26"/>
        <v>Actif</v>
      </c>
      <c r="AN293" s="2" t="str">
        <f t="shared" ca="1" si="27"/>
        <v>30-44 ans</v>
      </c>
      <c r="AO293" s="2" t="str">
        <f t="shared" si="28"/>
        <v>Fully Meets</v>
      </c>
      <c r="AP293" s="2" t="str">
        <f t="shared" si="29"/>
        <v>SURVEILLER</v>
      </c>
    </row>
    <row r="294" spans="1:42">
      <c r="A294" s="2" t="s">
        <v>900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s="2" t="s">
        <v>107</v>
      </c>
      <c r="N294" s="2" t="s">
        <v>16</v>
      </c>
      <c r="O294">
        <v>1960</v>
      </c>
      <c r="P294" s="1">
        <v>31601</v>
      </c>
      <c r="Q294" s="2" t="s">
        <v>17</v>
      </c>
      <c r="R294" s="2" t="s">
        <v>31</v>
      </c>
      <c r="S294" s="2" t="s">
        <v>19</v>
      </c>
      <c r="T294" s="2" t="s">
        <v>20</v>
      </c>
      <c r="U294" s="2" t="s">
        <v>71</v>
      </c>
      <c r="V294" s="1">
        <v>42051</v>
      </c>
      <c r="W294" s="1">
        <v>42788</v>
      </c>
      <c r="X294" s="2" t="s">
        <v>269</v>
      </c>
      <c r="Y294" s="2" t="s">
        <v>100</v>
      </c>
      <c r="Z294" s="2" t="s">
        <v>36</v>
      </c>
      <c r="AA294" s="2" t="s">
        <v>37</v>
      </c>
      <c r="AB294">
        <v>4</v>
      </c>
      <c r="AC294" s="2" t="s">
        <v>69</v>
      </c>
      <c r="AD294" s="2" t="s">
        <v>39</v>
      </c>
      <c r="AE294" s="2" t="s">
        <v>566</v>
      </c>
      <c r="AF294">
        <v>3</v>
      </c>
      <c r="AG294">
        <v>7</v>
      </c>
      <c r="AH294" t="s">
        <v>237</v>
      </c>
      <c r="AI294">
        <v>0</v>
      </c>
      <c r="AJ294">
        <v>9</v>
      </c>
      <c r="AK294">
        <f t="shared" ca="1" si="24"/>
        <v>39</v>
      </c>
      <c r="AL294">
        <f t="shared" ca="1" si="25"/>
        <v>2</v>
      </c>
      <c r="AM294" t="str">
        <f t="shared" si="26"/>
        <v>Involontaire</v>
      </c>
      <c r="AN294" s="2" t="str">
        <f t="shared" ca="1" si="27"/>
        <v>30-44 ans</v>
      </c>
      <c r="AO294" s="2" t="str">
        <f t="shared" si="28"/>
        <v>Fully Meets</v>
      </c>
      <c r="AP294" s="2" t="str">
        <f t="shared" si="29"/>
        <v>FAIBLE</v>
      </c>
    </row>
    <row r="295" spans="1:42">
      <c r="A295" s="2" t="s">
        <v>901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s="2" t="s">
        <v>15</v>
      </c>
      <c r="N295" s="2" t="s">
        <v>16</v>
      </c>
      <c r="O295">
        <v>2747</v>
      </c>
      <c r="P295" s="1">
        <v>31477</v>
      </c>
      <c r="Q295" s="2" t="s">
        <v>44</v>
      </c>
      <c r="R295" s="2" t="s">
        <v>31</v>
      </c>
      <c r="S295" s="2" t="s">
        <v>19</v>
      </c>
      <c r="T295" s="2" t="s">
        <v>20</v>
      </c>
      <c r="U295" s="2" t="s">
        <v>21</v>
      </c>
      <c r="V295" s="1">
        <v>40812</v>
      </c>
      <c r="W295" s="1">
        <v>42584</v>
      </c>
      <c r="X295" s="2" t="s">
        <v>567</v>
      </c>
      <c r="Y295" s="2" t="s">
        <v>100</v>
      </c>
      <c r="Z295" s="2" t="s">
        <v>24</v>
      </c>
      <c r="AA295" s="2" t="s">
        <v>93</v>
      </c>
      <c r="AB295">
        <v>18</v>
      </c>
      <c r="AC295" s="2" t="s">
        <v>56</v>
      </c>
      <c r="AD295" s="2" t="s">
        <v>27</v>
      </c>
      <c r="AE295" s="2" t="s">
        <v>187</v>
      </c>
      <c r="AF295">
        <v>5</v>
      </c>
      <c r="AG295">
        <v>0</v>
      </c>
      <c r="AH295">
        <v>42006</v>
      </c>
      <c r="AI295">
        <v>0</v>
      </c>
      <c r="AJ295">
        <v>18</v>
      </c>
      <c r="AK295">
        <f t="shared" ca="1" si="24"/>
        <v>40</v>
      </c>
      <c r="AL295">
        <f t="shared" ca="1" si="25"/>
        <v>4</v>
      </c>
      <c r="AM295" t="str">
        <f t="shared" si="26"/>
        <v>Involontaire</v>
      </c>
      <c r="AN295" s="2" t="str">
        <f t="shared" ca="1" si="27"/>
        <v>30-44 ans</v>
      </c>
      <c r="AO295" s="2" t="str">
        <f t="shared" si="28"/>
        <v>Exceeds</v>
      </c>
      <c r="AP295" s="2" t="str">
        <f t="shared" si="29"/>
        <v>SURVEILLER</v>
      </c>
    </row>
    <row r="296" spans="1:42">
      <c r="A296" s="2" t="s">
        <v>902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s="2" t="s">
        <v>15</v>
      </c>
      <c r="N296" s="2" t="s">
        <v>16</v>
      </c>
      <c r="O296">
        <v>2124</v>
      </c>
      <c r="P296" s="1">
        <v>31202</v>
      </c>
      <c r="Q296" s="2" t="s">
        <v>44</v>
      </c>
      <c r="R296" s="2" t="s">
        <v>18</v>
      </c>
      <c r="S296" s="2" t="s">
        <v>19</v>
      </c>
      <c r="T296" s="2" t="s">
        <v>20</v>
      </c>
      <c r="U296" s="2" t="s">
        <v>21</v>
      </c>
      <c r="V296" s="1">
        <v>42131</v>
      </c>
      <c r="W296" s="1"/>
      <c r="X296" s="2" t="s">
        <v>22</v>
      </c>
      <c r="Y296" s="2" t="s">
        <v>23</v>
      </c>
      <c r="Z296" s="2" t="s">
        <v>24</v>
      </c>
      <c r="AA296" s="2" t="s">
        <v>25</v>
      </c>
      <c r="AB296">
        <v>22</v>
      </c>
      <c r="AC296" s="2" t="s">
        <v>26</v>
      </c>
      <c r="AD296" s="2" t="s">
        <v>39</v>
      </c>
      <c r="AE296" s="2" t="s">
        <v>568</v>
      </c>
      <c r="AF296">
        <v>3</v>
      </c>
      <c r="AG296">
        <v>0</v>
      </c>
      <c r="AH296" t="s">
        <v>246</v>
      </c>
      <c r="AI296">
        <v>0</v>
      </c>
      <c r="AJ296">
        <v>7</v>
      </c>
      <c r="AK296">
        <f t="shared" ca="1" si="24"/>
        <v>40</v>
      </c>
      <c r="AL296">
        <f t="shared" ca="1" si="25"/>
        <v>10</v>
      </c>
      <c r="AM296" t="str">
        <f t="shared" si="26"/>
        <v>Actif</v>
      </c>
      <c r="AN296" s="2" t="str">
        <f t="shared" ca="1" si="27"/>
        <v>30-44 ans</v>
      </c>
      <c r="AO296" s="2" t="str">
        <f t="shared" si="28"/>
        <v>Fully Meets</v>
      </c>
      <c r="AP296" s="2" t="str">
        <f t="shared" si="29"/>
        <v>FAIBLE</v>
      </c>
    </row>
    <row r="297" spans="1:42">
      <c r="A297" s="2" t="s">
        <v>903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s="2" t="s">
        <v>42</v>
      </c>
      <c r="N297" s="2" t="s">
        <v>16</v>
      </c>
      <c r="O297">
        <v>2459</v>
      </c>
      <c r="P297" s="1">
        <v>28035</v>
      </c>
      <c r="Q297" s="2" t="s">
        <v>17</v>
      </c>
      <c r="R297" s="2" t="s">
        <v>18</v>
      </c>
      <c r="S297" s="2" t="s">
        <v>19</v>
      </c>
      <c r="T297" s="2" t="s">
        <v>20</v>
      </c>
      <c r="U297" s="2" t="s">
        <v>71</v>
      </c>
      <c r="V297" s="1">
        <v>41869</v>
      </c>
      <c r="W297" s="1"/>
      <c r="X297" s="2" t="s">
        <v>22</v>
      </c>
      <c r="Y297" s="2" t="s">
        <v>23</v>
      </c>
      <c r="Z297" s="2" t="s">
        <v>24</v>
      </c>
      <c r="AA297" s="2" t="s">
        <v>68</v>
      </c>
      <c r="AB297">
        <v>19</v>
      </c>
      <c r="AC297" s="2" t="s">
        <v>69</v>
      </c>
      <c r="AD297" s="2" t="s">
        <v>39</v>
      </c>
      <c r="AE297" s="2" t="s">
        <v>569</v>
      </c>
      <c r="AF297">
        <v>5</v>
      </c>
      <c r="AG297">
        <v>0</v>
      </c>
      <c r="AH297">
        <v>43801</v>
      </c>
      <c r="AI297">
        <v>0</v>
      </c>
      <c r="AJ297">
        <v>4</v>
      </c>
      <c r="AK297">
        <f t="shared" ca="1" si="24"/>
        <v>49</v>
      </c>
      <c r="AL297">
        <f t="shared" ca="1" si="25"/>
        <v>11</v>
      </c>
      <c r="AM297" t="str">
        <f t="shared" si="26"/>
        <v>Actif</v>
      </c>
      <c r="AN297" s="2" t="str">
        <f t="shared" ca="1" si="27"/>
        <v>45-59 ans</v>
      </c>
      <c r="AO297" s="2" t="str">
        <f t="shared" si="28"/>
        <v>Fully Meets</v>
      </c>
      <c r="AP297" s="2" t="str">
        <f t="shared" si="29"/>
        <v>FAIBLE</v>
      </c>
    </row>
    <row r="298" spans="1:42">
      <c r="A298" s="2" t="s">
        <v>904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s="2" t="s">
        <v>133</v>
      </c>
      <c r="N298" s="2" t="s">
        <v>16</v>
      </c>
      <c r="O298">
        <v>2478</v>
      </c>
      <c r="P298" s="1">
        <v>20407</v>
      </c>
      <c r="Q298" s="2" t="s">
        <v>44</v>
      </c>
      <c r="R298" s="2" t="s">
        <v>31</v>
      </c>
      <c r="S298" s="2" t="s">
        <v>19</v>
      </c>
      <c r="T298" s="2" t="s">
        <v>20</v>
      </c>
      <c r="U298" s="2" t="s">
        <v>71</v>
      </c>
      <c r="V298" s="1">
        <v>40812</v>
      </c>
      <c r="W298" s="1">
        <v>40940</v>
      </c>
      <c r="X298" s="2" t="s">
        <v>80</v>
      </c>
      <c r="Y298" s="2" t="s">
        <v>35</v>
      </c>
      <c r="Z298" s="2" t="s">
        <v>24</v>
      </c>
      <c r="AA298" s="2" t="s">
        <v>135</v>
      </c>
      <c r="AB298">
        <v>2</v>
      </c>
      <c r="AC298" s="2" t="s">
        <v>73</v>
      </c>
      <c r="AD298" s="2" t="s">
        <v>39</v>
      </c>
      <c r="AE298" s="2" t="s">
        <v>109</v>
      </c>
      <c r="AF298">
        <v>3</v>
      </c>
      <c r="AG298">
        <v>0</v>
      </c>
      <c r="AH298">
        <v>40940</v>
      </c>
      <c r="AI298">
        <v>0</v>
      </c>
      <c r="AJ298">
        <v>5</v>
      </c>
      <c r="AK298">
        <f t="shared" ca="1" si="24"/>
        <v>70</v>
      </c>
      <c r="AL298">
        <f t="shared" ca="1" si="25"/>
        <v>0</v>
      </c>
      <c r="AM298" t="str">
        <f t="shared" si="26"/>
        <v>Volontaire</v>
      </c>
      <c r="AN298" s="2" t="str">
        <f t="shared" ca="1" si="27"/>
        <v>60 ans et plus</v>
      </c>
      <c r="AO298" s="2" t="str">
        <f t="shared" si="28"/>
        <v>Fully Meets</v>
      </c>
      <c r="AP298" s="2" t="str">
        <f t="shared" si="29"/>
        <v>FAIBLE</v>
      </c>
    </row>
    <row r="299" spans="1:42">
      <c r="A299" s="2" t="s">
        <v>905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s="2" t="s">
        <v>15</v>
      </c>
      <c r="N299" s="2" t="s">
        <v>16</v>
      </c>
      <c r="O299">
        <v>1887</v>
      </c>
      <c r="P299" s="1">
        <v>29259</v>
      </c>
      <c r="Q299" s="2" t="s">
        <v>44</v>
      </c>
      <c r="R299" s="2" t="s">
        <v>18</v>
      </c>
      <c r="S299" s="2" t="s">
        <v>19</v>
      </c>
      <c r="T299" s="2" t="s">
        <v>20</v>
      </c>
      <c r="U299" s="2" t="s">
        <v>21</v>
      </c>
      <c r="V299" s="1">
        <v>41134</v>
      </c>
      <c r="W299" s="1">
        <v>42013</v>
      </c>
      <c r="X299" s="2" t="s">
        <v>34</v>
      </c>
      <c r="Y299" s="2" t="s">
        <v>35</v>
      </c>
      <c r="Z299" s="2" t="s">
        <v>24</v>
      </c>
      <c r="AA299" s="2" t="s">
        <v>51</v>
      </c>
      <c r="AB299">
        <v>16</v>
      </c>
      <c r="AC299" s="2" t="s">
        <v>117</v>
      </c>
      <c r="AD299" s="2" t="s">
        <v>118</v>
      </c>
      <c r="AE299" s="2" t="s">
        <v>571</v>
      </c>
      <c r="AF299">
        <v>3</v>
      </c>
      <c r="AG299">
        <v>0</v>
      </c>
      <c r="AH299">
        <v>41768</v>
      </c>
      <c r="AI299">
        <v>6</v>
      </c>
      <c r="AJ299">
        <v>13</v>
      </c>
      <c r="AK299">
        <f t="shared" ca="1" si="24"/>
        <v>46</v>
      </c>
      <c r="AL299">
        <f t="shared" ca="1" si="25"/>
        <v>2</v>
      </c>
      <c r="AM299" t="str">
        <f t="shared" si="26"/>
        <v>Volontaire</v>
      </c>
      <c r="AN299" s="2" t="str">
        <f t="shared" ca="1" si="27"/>
        <v>45-59 ans</v>
      </c>
      <c r="AO299" s="2" t="str">
        <f t="shared" si="28"/>
        <v>Needs Improvement</v>
      </c>
      <c r="AP299" s="2" t="str">
        <f t="shared" si="29"/>
        <v>SURVEILLER</v>
      </c>
    </row>
    <row r="300" spans="1:42">
      <c r="A300" s="2" t="s">
        <v>906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s="2" t="s">
        <v>393</v>
      </c>
      <c r="N300" s="2" t="s">
        <v>16</v>
      </c>
      <c r="O300">
        <v>1887</v>
      </c>
      <c r="P300" s="1">
        <v>29805</v>
      </c>
      <c r="Q300" s="2" t="s">
        <v>17</v>
      </c>
      <c r="R300" s="2" t="s">
        <v>18</v>
      </c>
      <c r="S300" s="2" t="s">
        <v>19</v>
      </c>
      <c r="T300" s="2" t="s">
        <v>20</v>
      </c>
      <c r="U300" s="2" t="s">
        <v>111</v>
      </c>
      <c r="V300" s="1">
        <v>42781</v>
      </c>
      <c r="W300" s="1"/>
      <c r="X300" s="2" t="s">
        <v>22</v>
      </c>
      <c r="Y300" s="2" t="s">
        <v>23</v>
      </c>
      <c r="Z300" s="2" t="s">
        <v>36</v>
      </c>
      <c r="AA300" s="2" t="s">
        <v>238</v>
      </c>
      <c r="AB300">
        <v>13</v>
      </c>
      <c r="AC300" s="2" t="s">
        <v>38</v>
      </c>
      <c r="AD300" s="2" t="s">
        <v>39</v>
      </c>
      <c r="AE300" s="2" t="s">
        <v>572</v>
      </c>
      <c r="AF300">
        <v>4</v>
      </c>
      <c r="AG300">
        <v>7</v>
      </c>
      <c r="AH300">
        <v>43556</v>
      </c>
      <c r="AI300">
        <v>0</v>
      </c>
      <c r="AJ300">
        <v>17</v>
      </c>
      <c r="AK300">
        <f t="shared" ca="1" si="24"/>
        <v>44</v>
      </c>
      <c r="AL300">
        <f t="shared" ca="1" si="25"/>
        <v>9</v>
      </c>
      <c r="AM300" t="str">
        <f t="shared" si="26"/>
        <v>Actif</v>
      </c>
      <c r="AN300" s="2" t="str">
        <f t="shared" ca="1" si="27"/>
        <v>30-44 ans</v>
      </c>
      <c r="AO300" s="2" t="str">
        <f t="shared" si="28"/>
        <v>Fully Meets</v>
      </c>
      <c r="AP300" s="2" t="str">
        <f t="shared" si="29"/>
        <v>SURVEILLER</v>
      </c>
    </row>
    <row r="301" spans="1:42">
      <c r="A301" s="2" t="s">
        <v>907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s="2" t="s">
        <v>214</v>
      </c>
      <c r="N301" s="2" t="s">
        <v>16</v>
      </c>
      <c r="O301">
        <v>2453</v>
      </c>
      <c r="P301" s="1">
        <v>28526</v>
      </c>
      <c r="Q301" s="2" t="s">
        <v>44</v>
      </c>
      <c r="R301" s="2" t="s">
        <v>66</v>
      </c>
      <c r="S301" s="2" t="s">
        <v>19</v>
      </c>
      <c r="T301" s="2" t="s">
        <v>20</v>
      </c>
      <c r="U301" s="2" t="s">
        <v>111</v>
      </c>
      <c r="V301" s="1">
        <v>42093</v>
      </c>
      <c r="W301" s="1"/>
      <c r="X301" s="2" t="s">
        <v>22</v>
      </c>
      <c r="Y301" s="2" t="s">
        <v>23</v>
      </c>
      <c r="Z301" s="2" t="s">
        <v>36</v>
      </c>
      <c r="AA301" s="2" t="s">
        <v>77</v>
      </c>
      <c r="AB301">
        <v>7</v>
      </c>
      <c r="AC301" s="2" t="s">
        <v>69</v>
      </c>
      <c r="AD301" s="2" t="s">
        <v>39</v>
      </c>
      <c r="AE301" s="2" t="s">
        <v>82</v>
      </c>
      <c r="AF301">
        <v>4</v>
      </c>
      <c r="AG301">
        <v>8</v>
      </c>
      <c r="AH301">
        <v>43587</v>
      </c>
      <c r="AI301">
        <v>0</v>
      </c>
      <c r="AJ301">
        <v>7</v>
      </c>
      <c r="AK301">
        <f t="shared" ca="1" si="24"/>
        <v>48</v>
      </c>
      <c r="AL301">
        <f t="shared" ca="1" si="25"/>
        <v>11</v>
      </c>
      <c r="AM301" t="str">
        <f t="shared" si="26"/>
        <v>Actif</v>
      </c>
      <c r="AN301" s="2" t="str">
        <f t="shared" ca="1" si="27"/>
        <v>45-59 ans</v>
      </c>
      <c r="AO301" s="2" t="str">
        <f t="shared" si="28"/>
        <v>Fully Meets</v>
      </c>
      <c r="AP301" s="2" t="str">
        <f t="shared" si="29"/>
        <v>FAIBLE</v>
      </c>
    </row>
    <row r="302" spans="1:42">
      <c r="A302" s="2" t="s">
        <v>908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s="2" t="s">
        <v>15</v>
      </c>
      <c r="N302" s="2" t="s">
        <v>16</v>
      </c>
      <c r="O302">
        <v>2030</v>
      </c>
      <c r="P302" s="1">
        <v>31921</v>
      </c>
      <c r="Q302" s="2" t="s">
        <v>17</v>
      </c>
      <c r="R302" s="2" t="s">
        <v>18</v>
      </c>
      <c r="S302" s="2" t="s">
        <v>19</v>
      </c>
      <c r="T302" s="2" t="s">
        <v>79</v>
      </c>
      <c r="U302" s="2" t="s">
        <v>21</v>
      </c>
      <c r="V302" s="1">
        <v>40817</v>
      </c>
      <c r="W302" s="1">
        <v>41774</v>
      </c>
      <c r="X302" s="2" t="s">
        <v>46</v>
      </c>
      <c r="Y302" s="2" t="s">
        <v>35</v>
      </c>
      <c r="Z302" s="2" t="s">
        <v>24</v>
      </c>
      <c r="AA302" s="2" t="s">
        <v>55</v>
      </c>
      <c r="AB302">
        <v>39</v>
      </c>
      <c r="AC302" s="2" t="s">
        <v>26</v>
      </c>
      <c r="AD302" s="2" t="s">
        <v>39</v>
      </c>
      <c r="AE302" s="2" t="s">
        <v>57</v>
      </c>
      <c r="AF302">
        <v>5</v>
      </c>
      <c r="AG302">
        <v>0</v>
      </c>
      <c r="AH302" t="s">
        <v>574</v>
      </c>
      <c r="AI302">
        <v>0</v>
      </c>
      <c r="AJ302">
        <v>11</v>
      </c>
      <c r="AK302">
        <f t="shared" ca="1" si="24"/>
        <v>38</v>
      </c>
      <c r="AL302">
        <f t="shared" ca="1" si="25"/>
        <v>2</v>
      </c>
      <c r="AM302" t="str">
        <f t="shared" si="26"/>
        <v>Involontaire</v>
      </c>
      <c r="AN302" s="2" t="str">
        <f t="shared" ca="1" si="27"/>
        <v>30-44 ans</v>
      </c>
      <c r="AO302" s="2" t="str">
        <f t="shared" si="28"/>
        <v>Fully Meets</v>
      </c>
      <c r="AP302" s="2" t="str">
        <f t="shared" si="29"/>
        <v>SURVEILLER</v>
      </c>
    </row>
    <row r="303" spans="1:42">
      <c r="A303" s="2" t="s">
        <v>909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s="2" t="s">
        <v>15</v>
      </c>
      <c r="N303" s="2" t="s">
        <v>16</v>
      </c>
      <c r="O303">
        <v>2324</v>
      </c>
      <c r="P303" s="1">
        <v>23994</v>
      </c>
      <c r="Q303" s="2" t="s">
        <v>17</v>
      </c>
      <c r="R303" s="2" t="s">
        <v>31</v>
      </c>
      <c r="S303" s="2" t="s">
        <v>106</v>
      </c>
      <c r="T303" s="2" t="s">
        <v>20</v>
      </c>
      <c r="U303" s="2" t="s">
        <v>21</v>
      </c>
      <c r="V303" s="1">
        <v>40679</v>
      </c>
      <c r="W303" s="1">
        <v>42194</v>
      </c>
      <c r="X303" s="2" t="s">
        <v>86</v>
      </c>
      <c r="Y303" s="2" t="s">
        <v>35</v>
      </c>
      <c r="Z303" s="2" t="s">
        <v>24</v>
      </c>
      <c r="AA303" s="2" t="s">
        <v>59</v>
      </c>
      <c r="AB303">
        <v>11</v>
      </c>
      <c r="AC303" s="2" t="s">
        <v>244</v>
      </c>
      <c r="AD303" s="2" t="s">
        <v>39</v>
      </c>
      <c r="AE303" s="2" t="s">
        <v>57</v>
      </c>
      <c r="AF303">
        <v>3</v>
      </c>
      <c r="AG303">
        <v>0</v>
      </c>
      <c r="AH303" t="s">
        <v>387</v>
      </c>
      <c r="AI303">
        <v>0</v>
      </c>
      <c r="AJ303">
        <v>7</v>
      </c>
      <c r="AK303">
        <f t="shared" ca="1" si="24"/>
        <v>60</v>
      </c>
      <c r="AL303">
        <f t="shared" ca="1" si="25"/>
        <v>4</v>
      </c>
      <c r="AM303" t="str">
        <f t="shared" si="26"/>
        <v>Volontaire</v>
      </c>
      <c r="AN303" s="2" t="str">
        <f t="shared" ca="1" si="27"/>
        <v>60 ans et plus</v>
      </c>
      <c r="AO303" s="2" t="str">
        <f t="shared" si="28"/>
        <v>Fully Meets</v>
      </c>
      <c r="AP303" s="2" t="str">
        <f t="shared" si="29"/>
        <v>FAIBLE</v>
      </c>
    </row>
    <row r="304" spans="1:42">
      <c r="A304" s="2" t="s">
        <v>910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s="2" t="s">
        <v>15</v>
      </c>
      <c r="N304" s="2" t="s">
        <v>16</v>
      </c>
      <c r="O304">
        <v>1876</v>
      </c>
      <c r="P304" s="1">
        <v>30527</v>
      </c>
      <c r="Q304" s="2" t="s">
        <v>44</v>
      </c>
      <c r="R304" s="2" t="s">
        <v>53</v>
      </c>
      <c r="S304" s="2" t="s">
        <v>19</v>
      </c>
      <c r="T304" s="2" t="s">
        <v>20</v>
      </c>
      <c r="U304" s="2" t="s">
        <v>21</v>
      </c>
      <c r="V304" s="1">
        <v>40817</v>
      </c>
      <c r="W304" s="1">
        <v>41043</v>
      </c>
      <c r="X304" s="2" t="s">
        <v>80</v>
      </c>
      <c r="Y304" s="2" t="s">
        <v>35</v>
      </c>
      <c r="Z304" s="2" t="s">
        <v>24</v>
      </c>
      <c r="AA304" s="2" t="s">
        <v>68</v>
      </c>
      <c r="AB304">
        <v>19</v>
      </c>
      <c r="AC304" s="2" t="s">
        <v>56</v>
      </c>
      <c r="AD304" s="2" t="s">
        <v>39</v>
      </c>
      <c r="AE304" s="2" t="s">
        <v>343</v>
      </c>
      <c r="AF304">
        <v>5</v>
      </c>
      <c r="AG304">
        <v>0</v>
      </c>
      <c r="AH304">
        <v>40696</v>
      </c>
      <c r="AI304">
        <v>0</v>
      </c>
      <c r="AJ304">
        <v>9</v>
      </c>
      <c r="AK304">
        <f t="shared" ca="1" si="24"/>
        <v>42</v>
      </c>
      <c r="AL304">
        <f t="shared" ca="1" si="25"/>
        <v>0</v>
      </c>
      <c r="AM304" t="str">
        <f t="shared" si="26"/>
        <v>Volontaire</v>
      </c>
      <c r="AN304" s="2" t="str">
        <f t="shared" ca="1" si="27"/>
        <v>30-44 ans</v>
      </c>
      <c r="AO304" s="2" t="str">
        <f t="shared" si="28"/>
        <v>Fully Meets</v>
      </c>
      <c r="AP304" s="2" t="str">
        <f t="shared" si="29"/>
        <v>FAIBLE</v>
      </c>
    </row>
    <row r="305" spans="1:42">
      <c r="A305" s="2" t="s">
        <v>911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s="2" t="s">
        <v>15</v>
      </c>
      <c r="N305" s="2" t="s">
        <v>16</v>
      </c>
      <c r="O305">
        <v>2109</v>
      </c>
      <c r="P305" s="1">
        <v>25244</v>
      </c>
      <c r="Q305" s="2" t="s">
        <v>44</v>
      </c>
      <c r="R305" s="2" t="s">
        <v>18</v>
      </c>
      <c r="S305" s="2" t="s">
        <v>19</v>
      </c>
      <c r="T305" s="2" t="s">
        <v>79</v>
      </c>
      <c r="U305" s="2" t="s">
        <v>71</v>
      </c>
      <c r="V305" s="1">
        <v>41153</v>
      </c>
      <c r="W305" s="1">
        <v>42182</v>
      </c>
      <c r="X305" s="2" t="s">
        <v>186</v>
      </c>
      <c r="Y305" s="2" t="s">
        <v>35</v>
      </c>
      <c r="Z305" s="2" t="s">
        <v>24</v>
      </c>
      <c r="AA305" s="2" t="s">
        <v>68</v>
      </c>
      <c r="AB305">
        <v>19</v>
      </c>
      <c r="AC305" s="2" t="s">
        <v>73</v>
      </c>
      <c r="AD305" s="2" t="s">
        <v>39</v>
      </c>
      <c r="AE305" s="2" t="s">
        <v>187</v>
      </c>
      <c r="AF305">
        <v>4</v>
      </c>
      <c r="AG305">
        <v>0</v>
      </c>
      <c r="AH305">
        <v>41676</v>
      </c>
      <c r="AI305">
        <v>0</v>
      </c>
      <c r="AJ305">
        <v>16</v>
      </c>
      <c r="AK305">
        <f t="shared" ca="1" si="24"/>
        <v>57</v>
      </c>
      <c r="AL305">
        <f t="shared" ca="1" si="25"/>
        <v>2</v>
      </c>
      <c r="AM305" t="str">
        <f t="shared" si="26"/>
        <v>Volontaire</v>
      </c>
      <c r="AN305" s="2" t="str">
        <f t="shared" ca="1" si="27"/>
        <v>45-59 ans</v>
      </c>
      <c r="AO305" s="2" t="str">
        <f t="shared" si="28"/>
        <v>Fully Meets</v>
      </c>
      <c r="AP305" s="2" t="str">
        <f t="shared" si="29"/>
        <v>SURVEILLER</v>
      </c>
    </row>
    <row r="306" spans="1:42">
      <c r="A306" s="2" t="s">
        <v>912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s="2" t="s">
        <v>42</v>
      </c>
      <c r="N306" s="2" t="s">
        <v>16</v>
      </c>
      <c r="O306">
        <v>2045</v>
      </c>
      <c r="P306" s="1">
        <v>21377</v>
      </c>
      <c r="Q306" s="2" t="s">
        <v>17</v>
      </c>
      <c r="R306" s="2" t="s">
        <v>18</v>
      </c>
      <c r="S306" s="2" t="s">
        <v>19</v>
      </c>
      <c r="T306" s="2" t="s">
        <v>20</v>
      </c>
      <c r="U306" s="2" t="s">
        <v>21</v>
      </c>
      <c r="V306" s="1">
        <v>41456</v>
      </c>
      <c r="W306" s="1">
        <v>42421</v>
      </c>
      <c r="X306" s="2" t="s">
        <v>134</v>
      </c>
      <c r="Y306" s="2" t="s">
        <v>35</v>
      </c>
      <c r="Z306" s="2" t="s">
        <v>24</v>
      </c>
      <c r="AA306" s="2" t="s">
        <v>72</v>
      </c>
      <c r="AB306">
        <v>12</v>
      </c>
      <c r="AC306" s="2" t="s">
        <v>26</v>
      </c>
      <c r="AD306" s="2" t="s">
        <v>27</v>
      </c>
      <c r="AE306" s="2" t="s">
        <v>57</v>
      </c>
      <c r="AF306">
        <v>3</v>
      </c>
      <c r="AG306">
        <v>0</v>
      </c>
      <c r="AH306" t="s">
        <v>578</v>
      </c>
      <c r="AI306">
        <v>0</v>
      </c>
      <c r="AJ306">
        <v>7</v>
      </c>
      <c r="AK306">
        <f t="shared" ca="1" si="24"/>
        <v>67</v>
      </c>
      <c r="AL306">
        <f t="shared" ca="1" si="25"/>
        <v>2</v>
      </c>
      <c r="AM306" t="str">
        <f t="shared" si="26"/>
        <v>Volontaire</v>
      </c>
      <c r="AN306" s="2" t="str">
        <f t="shared" ca="1" si="27"/>
        <v>60 ans et plus</v>
      </c>
      <c r="AO306" s="2" t="str">
        <f t="shared" si="28"/>
        <v>Exceeds</v>
      </c>
      <c r="AP306" s="2" t="str">
        <f t="shared" si="29"/>
        <v>FAIBLE</v>
      </c>
    </row>
    <row r="307" spans="1:42">
      <c r="A307" s="2" t="s">
        <v>913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s="2" t="s">
        <v>42</v>
      </c>
      <c r="N307" s="2" t="s">
        <v>16</v>
      </c>
      <c r="O307">
        <v>2302</v>
      </c>
      <c r="P307" s="1">
        <v>31157</v>
      </c>
      <c r="Q307" s="2" t="s">
        <v>44</v>
      </c>
      <c r="R307" s="2" t="s">
        <v>18</v>
      </c>
      <c r="S307" s="2" t="s">
        <v>19</v>
      </c>
      <c r="T307" s="2" t="s">
        <v>20</v>
      </c>
      <c r="U307" s="2" t="s">
        <v>21</v>
      </c>
      <c r="V307" s="1">
        <v>41911</v>
      </c>
      <c r="W307" s="1"/>
      <c r="X307" s="2" t="s">
        <v>22</v>
      </c>
      <c r="Y307" s="2" t="s">
        <v>23</v>
      </c>
      <c r="Z307" s="2" t="s">
        <v>24</v>
      </c>
      <c r="AA307" s="2" t="s">
        <v>81</v>
      </c>
      <c r="AB307">
        <v>14</v>
      </c>
      <c r="AC307" s="2" t="s">
        <v>26</v>
      </c>
      <c r="AD307" s="2" t="s">
        <v>39</v>
      </c>
      <c r="AE307" s="2" t="s">
        <v>249</v>
      </c>
      <c r="AF307">
        <v>4</v>
      </c>
      <c r="AG307">
        <v>0</v>
      </c>
      <c r="AH307" t="s">
        <v>158</v>
      </c>
      <c r="AI307">
        <v>0</v>
      </c>
      <c r="AJ307">
        <v>14</v>
      </c>
      <c r="AK307">
        <f t="shared" ca="1" si="24"/>
        <v>40</v>
      </c>
      <c r="AL307">
        <f t="shared" ca="1" si="25"/>
        <v>11</v>
      </c>
      <c r="AM307" t="str">
        <f t="shared" si="26"/>
        <v>Actif</v>
      </c>
      <c r="AN307" s="2" t="str">
        <f t="shared" ca="1" si="27"/>
        <v>30-44 ans</v>
      </c>
      <c r="AO307" s="2" t="str">
        <f t="shared" si="28"/>
        <v>Fully Meets</v>
      </c>
      <c r="AP307" s="2" t="str">
        <f t="shared" si="29"/>
        <v>SURVEILLER</v>
      </c>
    </row>
    <row r="308" spans="1:42">
      <c r="A308" s="2" t="s">
        <v>914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s="2" t="s">
        <v>42</v>
      </c>
      <c r="N308" s="2" t="s">
        <v>16</v>
      </c>
      <c r="O308">
        <v>1810</v>
      </c>
      <c r="P308" s="1">
        <v>31356</v>
      </c>
      <c r="Q308" s="2" t="s">
        <v>17</v>
      </c>
      <c r="R308" s="2" t="s">
        <v>18</v>
      </c>
      <c r="S308" s="2" t="s">
        <v>19</v>
      </c>
      <c r="T308" s="2" t="s">
        <v>20</v>
      </c>
      <c r="U308" s="2" t="s">
        <v>21</v>
      </c>
      <c r="V308" s="1">
        <v>41827</v>
      </c>
      <c r="W308" s="1"/>
      <c r="X308" s="2" t="s">
        <v>22</v>
      </c>
      <c r="Y308" s="2" t="s">
        <v>23</v>
      </c>
      <c r="Z308" s="2" t="s">
        <v>24</v>
      </c>
      <c r="AA308" s="2" t="s">
        <v>47</v>
      </c>
      <c r="AB308">
        <v>20</v>
      </c>
      <c r="AC308" s="2" t="s">
        <v>26</v>
      </c>
      <c r="AD308" s="2" t="s">
        <v>39</v>
      </c>
      <c r="AE308" s="2" t="s">
        <v>580</v>
      </c>
      <c r="AF308">
        <v>4</v>
      </c>
      <c r="AG308">
        <v>0</v>
      </c>
      <c r="AH308" t="s">
        <v>200</v>
      </c>
      <c r="AI308">
        <v>0</v>
      </c>
      <c r="AJ308">
        <v>13</v>
      </c>
      <c r="AK308">
        <f t="shared" ca="1" si="24"/>
        <v>40</v>
      </c>
      <c r="AL308">
        <f t="shared" ca="1" si="25"/>
        <v>11</v>
      </c>
      <c r="AM308" t="str">
        <f t="shared" si="26"/>
        <v>Actif</v>
      </c>
      <c r="AN308" s="2" t="str">
        <f t="shared" ca="1" si="27"/>
        <v>30-44 ans</v>
      </c>
      <c r="AO308" s="2" t="str">
        <f t="shared" si="28"/>
        <v>Fully Meets</v>
      </c>
      <c r="AP308" s="2" t="str">
        <f t="shared" si="29"/>
        <v>SURVEILLER</v>
      </c>
    </row>
    <row r="309" spans="1:42">
      <c r="A309" s="2" t="s">
        <v>915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s="2" t="s">
        <v>15</v>
      </c>
      <c r="N309" s="2" t="s">
        <v>16</v>
      </c>
      <c r="O309">
        <v>2458</v>
      </c>
      <c r="P309" s="1">
        <v>30046</v>
      </c>
      <c r="Q309" s="2" t="s">
        <v>44</v>
      </c>
      <c r="R309" s="2" t="s">
        <v>18</v>
      </c>
      <c r="S309" s="2" t="s">
        <v>19</v>
      </c>
      <c r="T309" s="2" t="s">
        <v>20</v>
      </c>
      <c r="U309" s="2" t="s">
        <v>111</v>
      </c>
      <c r="V309" s="1">
        <v>39487</v>
      </c>
      <c r="W309" s="1">
        <v>42276</v>
      </c>
      <c r="X309" s="2" t="s">
        <v>80</v>
      </c>
      <c r="Y309" s="2" t="s">
        <v>35</v>
      </c>
      <c r="Z309" s="2" t="s">
        <v>24</v>
      </c>
      <c r="AA309" s="2" t="s">
        <v>72</v>
      </c>
      <c r="AB309">
        <v>12</v>
      </c>
      <c r="AC309" s="2" t="s">
        <v>56</v>
      </c>
      <c r="AD309" s="2" t="s">
        <v>230</v>
      </c>
      <c r="AE309" s="2" t="s">
        <v>582</v>
      </c>
      <c r="AF309">
        <v>2</v>
      </c>
      <c r="AG309">
        <v>0</v>
      </c>
      <c r="AH309">
        <v>42044</v>
      </c>
      <c r="AI309">
        <v>5</v>
      </c>
      <c r="AJ309">
        <v>4</v>
      </c>
      <c r="AK309">
        <f t="shared" ca="1" si="24"/>
        <v>44</v>
      </c>
      <c r="AL309">
        <f t="shared" ca="1" si="25"/>
        <v>7</v>
      </c>
      <c r="AM309" t="str">
        <f t="shared" si="26"/>
        <v>Volontaire</v>
      </c>
      <c r="AN309" s="2" t="str">
        <f t="shared" ca="1" si="27"/>
        <v>30-44 ans</v>
      </c>
      <c r="AO309" s="2" t="str">
        <f t="shared" si="28"/>
        <v>PIP</v>
      </c>
      <c r="AP309" s="2" t="str">
        <f t="shared" si="29"/>
        <v>FAIBLE</v>
      </c>
    </row>
    <row r="310" spans="1:42">
      <c r="A310" s="2" t="s">
        <v>916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s="2" t="s">
        <v>583</v>
      </c>
      <c r="N310" s="2" t="s">
        <v>16</v>
      </c>
      <c r="O310">
        <v>2067</v>
      </c>
      <c r="P310" s="1">
        <v>29097</v>
      </c>
      <c r="Q310" s="2" t="s">
        <v>44</v>
      </c>
      <c r="R310" s="2" t="s">
        <v>18</v>
      </c>
      <c r="S310" s="2" t="s">
        <v>19</v>
      </c>
      <c r="T310" s="2" t="s">
        <v>20</v>
      </c>
      <c r="U310" s="2" t="s">
        <v>21</v>
      </c>
      <c r="V310" s="1">
        <v>40455</v>
      </c>
      <c r="W310" s="1"/>
      <c r="X310" s="2" t="s">
        <v>22</v>
      </c>
      <c r="Y310" s="2" t="s">
        <v>23</v>
      </c>
      <c r="Z310" s="2" t="s">
        <v>36</v>
      </c>
      <c r="AA310" s="2" t="s">
        <v>135</v>
      </c>
      <c r="AB310">
        <v>2</v>
      </c>
      <c r="AC310" s="2" t="s">
        <v>69</v>
      </c>
      <c r="AD310" s="2" t="s">
        <v>27</v>
      </c>
      <c r="AE310" s="2" t="s">
        <v>28</v>
      </c>
      <c r="AF310">
        <v>5</v>
      </c>
      <c r="AG310">
        <v>6</v>
      </c>
      <c r="AH310" t="s">
        <v>158</v>
      </c>
      <c r="AI310">
        <v>0</v>
      </c>
      <c r="AJ310">
        <v>16</v>
      </c>
      <c r="AK310">
        <f t="shared" ca="1" si="24"/>
        <v>46</v>
      </c>
      <c r="AL310">
        <f t="shared" ca="1" si="25"/>
        <v>15</v>
      </c>
      <c r="AM310" t="str">
        <f t="shared" si="26"/>
        <v>Actif</v>
      </c>
      <c r="AN310" s="2" t="str">
        <f t="shared" ca="1" si="27"/>
        <v>45-59 ans</v>
      </c>
      <c r="AO310" s="2" t="str">
        <f t="shared" si="28"/>
        <v>Exceeds</v>
      </c>
      <c r="AP310" s="2" t="str">
        <f t="shared" si="29"/>
        <v>SURVEILLER</v>
      </c>
    </row>
    <row r="311" spans="1:42">
      <c r="A311" s="2" t="s">
        <v>917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s="2" t="s">
        <v>87</v>
      </c>
      <c r="N311" s="2" t="s">
        <v>16</v>
      </c>
      <c r="O311">
        <v>2148</v>
      </c>
      <c r="P311" s="1">
        <v>28910</v>
      </c>
      <c r="Q311" s="2" t="s">
        <v>44</v>
      </c>
      <c r="R311" s="2" t="s">
        <v>18</v>
      </c>
      <c r="S311" s="2" t="s">
        <v>19</v>
      </c>
      <c r="T311" s="2" t="s">
        <v>20</v>
      </c>
      <c r="U311" s="2" t="s">
        <v>21</v>
      </c>
      <c r="V311" s="1">
        <v>42093</v>
      </c>
      <c r="W311" s="1"/>
      <c r="X311" s="2" t="s">
        <v>22</v>
      </c>
      <c r="Y311" s="2" t="s">
        <v>23</v>
      </c>
      <c r="Z311" s="2" t="s">
        <v>36</v>
      </c>
      <c r="AA311" s="2" t="s">
        <v>37</v>
      </c>
      <c r="AB311">
        <v>4</v>
      </c>
      <c r="AC311" s="2" t="s">
        <v>69</v>
      </c>
      <c r="AD311" s="2" t="s">
        <v>39</v>
      </c>
      <c r="AE311" s="2" t="s">
        <v>57</v>
      </c>
      <c r="AF311">
        <v>3</v>
      </c>
      <c r="AG311">
        <v>5</v>
      </c>
      <c r="AH311">
        <v>43467</v>
      </c>
      <c r="AI311">
        <v>0</v>
      </c>
      <c r="AJ311">
        <v>11</v>
      </c>
      <c r="AK311">
        <f t="shared" ca="1" si="24"/>
        <v>47</v>
      </c>
      <c r="AL311">
        <f t="shared" ca="1" si="25"/>
        <v>11</v>
      </c>
      <c r="AM311" t="str">
        <f t="shared" si="26"/>
        <v>Actif</v>
      </c>
      <c r="AN311" s="2" t="str">
        <f t="shared" ca="1" si="27"/>
        <v>45-59 ans</v>
      </c>
      <c r="AO311" s="2" t="str">
        <f t="shared" si="28"/>
        <v>Fully Meets</v>
      </c>
      <c r="AP311" s="2" t="str">
        <f t="shared" si="29"/>
        <v>SURVEILLER</v>
      </c>
    </row>
    <row r="312" spans="1:42">
      <c r="A312" s="2" t="s">
        <v>918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s="2" t="s">
        <v>15</v>
      </c>
      <c r="N312" s="2" t="s">
        <v>16</v>
      </c>
      <c r="O312">
        <v>1730</v>
      </c>
      <c r="P312" s="1">
        <v>28719</v>
      </c>
      <c r="Q312" s="2" t="s">
        <v>44</v>
      </c>
      <c r="R312" s="2" t="s">
        <v>66</v>
      </c>
      <c r="S312" s="2" t="s">
        <v>19</v>
      </c>
      <c r="T312" s="2" t="s">
        <v>20</v>
      </c>
      <c r="U312" s="2" t="s">
        <v>111</v>
      </c>
      <c r="V312" s="1">
        <v>41911</v>
      </c>
      <c r="W312" s="1"/>
      <c r="X312" s="2" t="s">
        <v>22</v>
      </c>
      <c r="Y312" s="2" t="s">
        <v>23</v>
      </c>
      <c r="Z312" s="2" t="s">
        <v>24</v>
      </c>
      <c r="AA312" s="2" t="s">
        <v>81</v>
      </c>
      <c r="AB312">
        <v>14</v>
      </c>
      <c r="AC312" s="2" t="s">
        <v>26</v>
      </c>
      <c r="AD312" s="2" t="s">
        <v>39</v>
      </c>
      <c r="AE312" s="2" t="s">
        <v>109</v>
      </c>
      <c r="AF312">
        <v>5</v>
      </c>
      <c r="AG312">
        <v>0</v>
      </c>
      <c r="AH312" t="s">
        <v>167</v>
      </c>
      <c r="AI312">
        <v>0</v>
      </c>
      <c r="AJ312">
        <v>2</v>
      </c>
      <c r="AK312">
        <f t="shared" ca="1" si="24"/>
        <v>47</v>
      </c>
      <c r="AL312">
        <f t="shared" ca="1" si="25"/>
        <v>11</v>
      </c>
      <c r="AM312" t="str">
        <f t="shared" si="26"/>
        <v>Actif</v>
      </c>
      <c r="AN312" s="2" t="str">
        <f t="shared" ca="1" si="27"/>
        <v>45-59 ans</v>
      </c>
      <c r="AO312" s="2" t="str">
        <f t="shared" si="28"/>
        <v>Fully Meets</v>
      </c>
      <c r="AP312" s="2" t="str">
        <f t="shared" si="29"/>
        <v>FAIBLE</v>
      </c>
    </row>
  </sheetData>
  <phoneticPr fontId="18" type="noConversion"/>
  <conditionalFormatting sqref="AP1:AP1048576">
    <cfRule type="containsText" dxfId="5" priority="1" operator="containsText" text="CRITIQUE">
      <formula>NOT(ISERROR(SEARCH("CRITIQUE",AP1)))</formula>
    </cfRule>
    <cfRule type="containsText" dxfId="4" priority="2" operator="containsText" text="FAIBLE">
      <formula>NOT(ISERROR(SEARCH("FAIBLE",AP1)))</formula>
    </cfRule>
    <cfRule type="containsText" dxfId="3" priority="3" operator="containsText" text="SURVEILLER">
      <formula>NOT(ISERROR(SEARCH("SURVEILLER",AP1)))</formula>
    </cfRule>
    <cfRule type="containsText" dxfId="2" priority="4" operator="containsText" text="CRITIQUE">
      <formula>NOT(ISERROR(SEARCH("CRITIQUE",AP1)))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86FC-A931-4CDB-B68B-47AE5AE331C7}">
  <dimension ref="A1:S10"/>
  <sheetViews>
    <sheetView tabSelected="1" topLeftCell="A16" workbookViewId="0">
      <selection activeCell="U16" sqref="U16"/>
    </sheetView>
  </sheetViews>
  <sheetFormatPr baseColWidth="10" defaultRowHeight="14.5"/>
  <cols>
    <col min="1" max="1" width="16" customWidth="1"/>
    <col min="2" max="2" width="11.7265625" bestFit="1" customWidth="1"/>
    <col min="3" max="3" width="31.7265625" bestFit="1" customWidth="1"/>
    <col min="18" max="18" width="31.1796875" customWidth="1"/>
    <col min="19" max="19" width="30.1796875" customWidth="1"/>
  </cols>
  <sheetData>
    <row r="1" spans="1:19">
      <c r="A1" s="10" t="s">
        <v>947</v>
      </c>
      <c r="B1" s="11">
        <v>46027</v>
      </c>
      <c r="C1" s="10" t="s">
        <v>948</v>
      </c>
    </row>
    <row r="2" spans="1:19">
      <c r="A2" s="7" t="s">
        <v>943</v>
      </c>
      <c r="B2" s="7"/>
      <c r="C2" s="7"/>
      <c r="D2" s="7"/>
      <c r="E2" s="7"/>
      <c r="F2" s="7"/>
      <c r="R2" t="s">
        <v>933</v>
      </c>
    </row>
    <row r="4" spans="1:19">
      <c r="A4" t="s">
        <v>944</v>
      </c>
      <c r="B4" s="6">
        <f>COUNTA(Feuil1!A2:A311)</f>
        <v>310</v>
      </c>
    </row>
    <row r="5" spans="1:19">
      <c r="A5" s="6" t="s">
        <v>945</v>
      </c>
      <c r="B5" s="8">
        <f>SUM(Feuil1!K2:K311)/COUNTA(Feuil1!A2:A311)</f>
        <v>0.33548387096774196</v>
      </c>
      <c r="R5" s="6" t="s">
        <v>934</v>
      </c>
      <c r="S5">
        <f>CORREL(Feuil1!AF2:AF311, Feuil1!AJ2:AJ311)</f>
        <v>8.123620122930518E-2</v>
      </c>
    </row>
    <row r="6" spans="1:19">
      <c r="A6" s="6" t="s">
        <v>946</v>
      </c>
      <c r="B6" s="9">
        <f>AVERAGE(Feuil1!J2:J311)</f>
        <v>69098.022580645164</v>
      </c>
    </row>
    <row r="7" spans="1:19">
      <c r="R7" s="6" t="s">
        <v>935</v>
      </c>
      <c r="S7" s="6">
        <f>SUMIF(Feuil1!Q2:Q311, "*M*", Feuil1!J2:J311) / COUNTIF(Feuil1!Q2:Q311, "*M*")</f>
        <v>70629.399999999994</v>
      </c>
    </row>
    <row r="8" spans="1:19">
      <c r="R8" s="6" t="s">
        <v>936</v>
      </c>
      <c r="S8">
        <f>SUMIF(Feuil1!Q2:Q311, "*F*", Feuil1!J2:J311) / COUNTIF(Feuil1!Q2:Q311, "*F*")</f>
        <v>67916.674285714282</v>
      </c>
    </row>
    <row r="9" spans="1:19">
      <c r="R9" s="6" t="s">
        <v>937</v>
      </c>
      <c r="S9">
        <f>S7-S8</f>
        <v>2712.7257142857125</v>
      </c>
    </row>
    <row r="10" spans="1:19">
      <c r="R10" s="6" t="s">
        <v>938</v>
      </c>
      <c r="S10">
        <f>(S7-S8)/S8</f>
        <v>3.9941969226492471E-2</v>
      </c>
    </row>
  </sheetData>
  <mergeCells count="1">
    <mergeCell ref="A2:F2"/>
  </mergeCells>
  <conditionalFormatting sqref="B5">
    <cfRule type="cellIs" dxfId="1" priority="1" operator="greaterThan">
      <formula>"O,2O"</formula>
    </cfRule>
    <cfRule type="cellIs" dxfId="0" priority="2" operator="greaterThan">
      <formula>"O,2O"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647815-A345-4247-BC31-2D3F797649F3}">
  <ds:schemaRefs>
    <ds:schemaRef ds:uri="http://schemas.microsoft.com/DataMashup"/>
  </ds:schemaRefs>
</ds:datastoreItem>
</file>